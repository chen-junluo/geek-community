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ylanchen/Desktop/geek-community/Projects/MISQ/MISQ round 2/"/>
    </mc:Choice>
  </mc:AlternateContent>
  <xr:revisionPtr revIDLastSave="0" documentId="13_ncr:1_{73D470D5-7717-2548-95EA-026A9FBEB8D2}" xr6:coauthVersionLast="47" xr6:coauthVersionMax="47" xr10:uidLastSave="{00000000-0000-0000-0000-000000000000}"/>
  <bookViews>
    <workbookView xWindow="0" yWindow="500" windowWidth="38400" windowHeight="19540" activeTab="8" xr2:uid="{30F402B7-E6D8-E34B-8063-713AC97DE139}"/>
  </bookViews>
  <sheets>
    <sheet name="main results" sheetId="19" r:id="rId1"/>
    <sheet name="mechanism updated" sheetId="16" r:id="rId2"/>
    <sheet name="robustness" sheetId="17" r:id="rId3"/>
    <sheet name="posthoc" sheetId="18" r:id="rId4"/>
    <sheet name="literature review" sheetId="22" r:id="rId5"/>
    <sheet name="Sheet1" sheetId="23" r:id="rId6"/>
    <sheet name="mechanism about H4" sheetId="21" r:id="rId7"/>
    <sheet name="interaction plot (with non-sig)" sheetId="24" r:id="rId8"/>
    <sheet name="interaction plot (original)" sheetId="25" r:id="rId9"/>
  </sheets>
  <definedNames>
    <definedName name="_Hlk194498603" localSheetId="4">'literature review'!$A$15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0" i="25" l="1"/>
  <c r="B30" i="25" s="1"/>
  <c r="A29" i="25"/>
  <c r="B29" i="25" s="1"/>
  <c r="B28" i="25"/>
  <c r="B20" i="25"/>
  <c r="A19" i="25"/>
  <c r="B19" i="25" s="1"/>
  <c r="A18" i="25"/>
  <c r="B18" i="25" s="1"/>
  <c r="B28" i="24"/>
  <c r="B30" i="24"/>
  <c r="B29" i="24"/>
  <c r="B18" i="24"/>
  <c r="B19" i="24"/>
  <c r="A18" i="24"/>
  <c r="A30" i="24"/>
  <c r="A29" i="24"/>
  <c r="B20" i="24"/>
  <c r="A19" i="24"/>
</calcChain>
</file>

<file path=xl/sharedStrings.xml><?xml version="1.0" encoding="utf-8"?>
<sst xmlns="http://schemas.openxmlformats.org/spreadsheetml/2006/main" count="1183" uniqueCount="492">
  <si>
    <t>(0.011)</t>
  </si>
  <si>
    <t>(0.083)</t>
  </si>
  <si>
    <t>(0.042)</t>
  </si>
  <si>
    <t>(0.014)</t>
  </si>
  <si>
    <t>(0.017)</t>
  </si>
  <si>
    <t>(0.016)</t>
  </si>
  <si>
    <t>0.000</t>
  </si>
  <si>
    <t>(0.009)</t>
  </si>
  <si>
    <t>0.011</t>
  </si>
  <si>
    <t>(0.087)</t>
  </si>
  <si>
    <t>(0.067)</t>
  </si>
  <si>
    <t>0.005</t>
  </si>
  <si>
    <t>(0.034)</t>
  </si>
  <si>
    <t>0.002</t>
  </si>
  <si>
    <t>(0.078)</t>
  </si>
  <si>
    <t>(0.118)</t>
  </si>
  <si>
    <t>(0.020)</t>
  </si>
  <si>
    <t>(0.015)</t>
  </si>
  <si>
    <t>(0.077)</t>
  </si>
  <si>
    <t>(0.005)</t>
  </si>
  <si>
    <t>(0.023)</t>
  </si>
  <si>
    <r>
      <t>AI</t>
    </r>
    <r>
      <rPr>
        <i/>
        <vertAlign val="subscript"/>
        <sz val="10"/>
        <color rgb="FF000000"/>
        <rFont val="Times New Roman"/>
        <family val="1"/>
      </rPr>
      <t>i</t>
    </r>
  </si>
  <si>
    <t>question controls</t>
  </si>
  <si>
    <t>√</t>
  </si>
  <si>
    <t>questioner controls</t>
  </si>
  <si>
    <t>question timing FE</t>
  </si>
  <si>
    <t>N</t>
  </si>
  <si>
    <t>(1)</t>
  </si>
  <si>
    <t>(2)</t>
  </si>
  <si>
    <t>(3)</t>
  </si>
  <si>
    <t>(4)</t>
  </si>
  <si>
    <t>3,613</t>
  </si>
  <si>
    <t>DV:</t>
  </si>
  <si>
    <t>3,603</t>
  </si>
  <si>
    <t>(0.007)</t>
  </si>
  <si>
    <t>-0.013</t>
  </si>
  <si>
    <t>0.350 ***</t>
  </si>
  <si>
    <t>2,685</t>
  </si>
  <si>
    <t>-0.120 .</t>
  </si>
  <si>
    <t>DV</t>
  </si>
  <si>
    <t>Log(answer number in 7 days)</t>
  </si>
  <si>
    <r>
      <t>AI</t>
    </r>
    <r>
      <rPr>
        <i/>
        <vertAlign val="subscript"/>
        <sz val="10"/>
        <color theme="1"/>
        <rFont val="Times New Roman"/>
        <family val="1"/>
      </rPr>
      <t>i</t>
    </r>
  </si>
  <si>
    <t>OLS</t>
  </si>
  <si>
    <t>Poisson</t>
  </si>
  <si>
    <t>ZIP</t>
  </si>
  <si>
    <t>ZINB</t>
  </si>
  <si>
    <t>other controls</t>
  </si>
  <si>
    <t>questioner random effect</t>
  </si>
  <si>
    <t>AIC</t>
  </si>
  <si>
    <t>BIC</t>
  </si>
  <si>
    <t>log likelihood</t>
  </si>
  <si>
    <t>deviance</t>
  </si>
  <si>
    <t>pseudo R^2</t>
  </si>
  <si>
    <t>(5)</t>
  </si>
  <si>
    <t>Robustness checks: alternative model specifications for human answer supply</t>
  </si>
  <si>
    <t>The impact of AI-generated answers on the answer supply and answer quality</t>
  </si>
  <si>
    <t>N=3</t>
  </si>
  <si>
    <t>N=7</t>
  </si>
  <si>
    <t>N=14</t>
  </si>
  <si>
    <t>(6)</t>
  </si>
  <si>
    <t>(7)</t>
  </si>
  <si>
    <t>Robustness checks: alternative time frame used in analyses</t>
  </si>
  <si>
    <t>post-AI deployment control group indicator</t>
  </si>
  <si>
    <t>controlling for a cubic polynomial of question/answer age</t>
  </si>
  <si>
    <t>Robustness to the quality of random assignment</t>
  </si>
  <si>
    <t xml:space="preserve">Original coefficient </t>
  </si>
  <si>
    <t xml:space="preserve">Bias-adjusted effect </t>
  </si>
  <si>
    <r>
      <t xml:space="preserve"> for </t>
    </r>
    <r>
      <rPr>
        <i/>
        <sz val="11"/>
        <color theme="1"/>
        <rFont val="Times New Roman"/>
        <family val="1"/>
      </rPr>
      <t>β</t>
    </r>
    <r>
      <rPr>
        <sz val="11"/>
        <color theme="1"/>
        <rFont val="Times New Roman"/>
        <family val="1"/>
      </rPr>
      <t xml:space="preserve">=0 given </t>
    </r>
  </si>
  <si>
    <r>
      <t xml:space="preserve">DV: </t>
    </r>
    <r>
      <rPr>
        <i/>
        <sz val="11"/>
        <color theme="1"/>
        <rFont val="Times New Roman"/>
        <family val="1"/>
      </rPr>
      <t>answerNum</t>
    </r>
    <r>
      <rPr>
        <i/>
        <vertAlign val="subscript"/>
        <sz val="11"/>
        <color theme="1"/>
        <rFont val="Times New Roman"/>
        <family val="1"/>
      </rPr>
      <t>i</t>
    </r>
  </si>
  <si>
    <t>R2</t>
  </si>
  <si>
    <t>R2max</t>
  </si>
  <si>
    <t>Robustness to potential spillover effects</t>
  </si>
  <si>
    <t>1 month</t>
  </si>
  <si>
    <t>2 months</t>
  </si>
  <si>
    <t>3 months</t>
  </si>
  <si>
    <t>The impact of AI-generated answers on the engagement of questioners &amp; viewers</t>
  </si>
  <si>
    <t>(0.027)</t>
  </si>
  <si>
    <t>(0.030)</t>
  </si>
  <si>
    <t xml:space="preserve">the logarithm of the number of questioner’s subsequent activities after receiving an answer in </t>
  </si>
  <si>
    <t>difficult questions</t>
  </si>
  <si>
    <t>easy questions</t>
  </si>
  <si>
    <t>difficult question -&gt; AI weak competitor -&gt; let me answer</t>
  </si>
  <si>
    <t>easy question -&gt; AI even weak still enough</t>
  </si>
  <si>
    <t>difficult question + AI lengthy -&gt; may be comprehensive -&gt; deter</t>
  </si>
  <si>
    <t>easy question + AI length -&gt; AI is enough</t>
  </si>
  <si>
    <t>H1</t>
  </si>
  <si>
    <t>H2</t>
  </si>
  <si>
    <t>H3</t>
  </si>
  <si>
    <t>H4</t>
  </si>
  <si>
    <t>Robustness checks: alternative model specifications for human answer quality</t>
  </si>
  <si>
    <t>(0.199)</t>
  </si>
  <si>
    <t>(0.003)</t>
  </si>
  <si>
    <t>(0.099)</t>
  </si>
  <si>
    <t>(0.080)</t>
  </si>
  <si>
    <t>30 days sample</t>
  </si>
  <si>
    <t>60 days sample</t>
  </si>
  <si>
    <t>90 days sample</t>
  </si>
  <si>
    <t>length as a cue to identify:</t>
  </si>
  <si>
    <t>1. opportunity for filling a gap (contribute sth AI does not cover)</t>
  </si>
  <si>
    <t>versus 2. opportunity to outperform (contribute higher quality than AI)</t>
  </si>
  <si>
    <t>Column 1: AI + AI length</t>
  </si>
  <si>
    <t>Column 2: AI + AI length + AI quality</t>
  </si>
  <si>
    <t>Column 3: AI + AI length + AI comprehensiveness</t>
  </si>
  <si>
    <t>hypothesis</t>
  </si>
  <si>
    <t>tests</t>
  </si>
  <si>
    <t>mechanisms</t>
  </si>
  <si>
    <r>
      <t xml:space="preserve">users perceive AI as a </t>
    </r>
    <r>
      <rPr>
        <b/>
        <sz val="12"/>
        <color theme="1"/>
        <rFont val="Aptos Narrow"/>
        <scheme val="minor"/>
      </rPr>
      <t>weak competitor</t>
    </r>
  </si>
  <si>
    <t>remark</t>
  </si>
  <si>
    <r>
      <t xml:space="preserve">b/c &gt; a (a) humans believe AI answers are low quality in general, (b) humans believe AI answers are weak for </t>
    </r>
    <r>
      <rPr>
        <i/>
        <sz val="12"/>
        <color theme="2" tint="-9.9978637043366805E-2"/>
        <rFont val="Aptos Narrow"/>
        <family val="2"/>
        <scheme val="minor"/>
      </rPr>
      <t>this type</t>
    </r>
    <r>
      <rPr>
        <sz val="12"/>
        <color theme="2" tint="-9.9978637043366805E-2"/>
        <rFont val="Aptos Narrow"/>
        <family val="2"/>
        <scheme val="minor"/>
      </rPr>
      <t xml:space="preserve"> of question, or (c) humans feel confident they can produce something better regardless of AI quality.</t>
    </r>
  </si>
  <si>
    <t>length -&gt; perceived higher quality -&gt; harder to outperform</t>
  </si>
  <si>
    <t>control for AI answer quality, length coeff. doesn't change</t>
  </si>
  <si>
    <t>length -&gt; perceived higher topic coverage -&gt; harder to contribute new</t>
  </si>
  <si>
    <t>selection: high AI quality -&gt; contribution from high quality users</t>
  </si>
  <si>
    <t>spillover: high AI quality -&gt; human users borrow from AI answers</t>
  </si>
  <si>
    <t>control for AI answer topic coverage (the number of bulletin points in answer), length become non-significant</t>
  </si>
  <si>
    <t>0.129</t>
  </si>
  <si>
    <t>Human 1 Expertise</t>
  </si>
  <si>
    <t>if selection, the higher AI quality is, the higher human 1's expertise will be. But we find no significant resultrs</t>
  </si>
  <si>
    <t>AI quality as a benchmark in competition setting</t>
  </si>
  <si>
    <t>if spillover, the higher AI quality is, the higher similarity(1Ans, 2Ans) will be. But we find human actually differentiate</t>
  </si>
  <si>
    <t>AI label -&gt; weak competitor perception</t>
  </si>
  <si>
    <t>this perception persists as continuous background mood into slow decision</t>
  </si>
  <si>
    <t>AI is a weak competitor -&gt; when drafting answer, only neeed to make least effort</t>
  </si>
  <si>
    <r>
      <t xml:space="preserve">AI label </t>
    </r>
    <r>
      <rPr>
        <b/>
        <sz val="12"/>
        <color theme="1"/>
        <rFont val="Aptos Narrow"/>
        <scheme val="minor"/>
      </rPr>
      <t>decrease</t>
    </r>
    <r>
      <rPr>
        <sz val="12"/>
        <color theme="1"/>
        <rFont val="Aptos Narrow"/>
        <family val="2"/>
        <scheme val="minor"/>
      </rPr>
      <t xml:space="preserve"> user contribution quality</t>
    </r>
  </si>
  <si>
    <r>
      <t xml:space="preserve">AI quality </t>
    </r>
    <r>
      <rPr>
        <b/>
        <sz val="12"/>
        <color theme="1"/>
        <rFont val="Aptos Narrow"/>
        <scheme val="minor"/>
      </rPr>
      <t>increase</t>
    </r>
    <r>
      <rPr>
        <sz val="12"/>
        <color theme="1"/>
        <rFont val="Aptos Narrow"/>
        <family val="2"/>
        <scheme val="minor"/>
      </rPr>
      <t xml:space="preserve"> user contribution quality</t>
    </r>
  </si>
  <si>
    <r>
      <t xml:space="preserve">length </t>
    </r>
    <r>
      <rPr>
        <b/>
        <sz val="12"/>
        <color theme="1"/>
        <rFont val="Aptos Narrow"/>
        <scheme val="minor"/>
      </rPr>
      <t>decrease</t>
    </r>
    <r>
      <rPr>
        <sz val="12"/>
        <color theme="1"/>
        <rFont val="Aptos Narrow"/>
        <family val="2"/>
        <scheme val="minor"/>
      </rPr>
      <t xml:space="preserve"> user contribution</t>
    </r>
  </si>
  <si>
    <r>
      <t xml:space="preserve">AI label </t>
    </r>
    <r>
      <rPr>
        <b/>
        <sz val="12"/>
        <color theme="1"/>
        <rFont val="Aptos Narrow"/>
        <scheme val="minor"/>
      </rPr>
      <t>increase</t>
    </r>
    <r>
      <rPr>
        <sz val="12"/>
        <color theme="1"/>
        <rFont val="Aptos Narrow"/>
        <family val="2"/>
        <scheme val="minor"/>
      </rPr>
      <t xml:space="preserve"> user contribution</t>
    </r>
  </si>
  <si>
    <t>logic: if weak competitor is the mechanism, when facing easy questions, human may think AI even weak but still enough</t>
  </si>
  <si>
    <t>prediction: so no AI label effect on easy questions subgroups</t>
  </si>
  <si>
    <r>
      <t>DV: the logarithm of the cumulative viewership count for question i</t>
    </r>
    <r>
      <rPr>
        <i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(Viewi)</t>
    </r>
  </si>
  <si>
    <t>- (the same as H1 weak competitor, so no new test)</t>
  </si>
  <si>
    <r>
      <t>DV: the logarithm of the number of comments the questioner posted in response to answers received by question i</t>
    </r>
    <r>
      <rPr>
        <i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(Commenti)</t>
    </r>
  </si>
  <si>
    <t>differentiation: high AI quality -&gt; human user differentiate more from AI</t>
  </si>
  <si>
    <t>Yes, human wants to differentiate from AI than differentiate from human. so the AI human competition increase answer diversity and boost quality</t>
  </si>
  <si>
    <t>expertise analysis: above mean subgroup</t>
  </si>
  <si>
    <t>exptertise analysis: top25%/top20% subgroup</t>
  </si>
  <si>
    <t>difficult and/or rookie subgroup</t>
  </si>
  <si>
    <t>high tag number question (more audience) vs. one tag question</t>
  </si>
  <si>
    <t>accepted before expert vs. no accepted before</t>
  </si>
  <si>
    <t>logic</t>
  </si>
  <si>
    <t>more audience higher competition, more benchmarking</t>
  </si>
  <si>
    <t>human benchmark when question is within the comfort room</t>
  </si>
  <si>
    <t>results</t>
  </si>
  <si>
    <t>non-linear effect</t>
  </si>
  <si>
    <t>if human benchmark, they would pay more effort</t>
  </si>
  <si>
    <t>change DV to effort proxy (length/code/formatting)</t>
  </si>
  <si>
    <t>if benchmark, higher AI quality, benchmarking more</t>
  </si>
  <si>
    <t>mechanism</t>
  </si>
  <si>
    <t>benchmarking (not knowledge spillover)</t>
  </si>
  <si>
    <t>if human benchmark, they would benchmark on dimension that AI outperform</t>
  </si>
  <si>
    <t>AI + Ailength + Aiclarity -&gt; human1clarity</t>
  </si>
  <si>
    <t>Study</t>
  </si>
  <si>
    <t>Community</t>
  </si>
  <si>
    <t>AI Examined</t>
  </si>
  <si>
    <t>Event</t>
  </si>
  <si>
    <t>Research Design</t>
  </si>
  <si>
    <t>User Group Examined</t>
  </si>
  <si>
    <t>Unit of Analysis</t>
  </si>
  <si>
    <t>GenAI Effect</t>
  </si>
  <si>
    <t>Stack Overflow</t>
  </si>
  <si>
    <t>ChatGPT</t>
  </si>
  <si>
    <t>GenAI ban</t>
  </si>
  <si>
    <t>Natural Experiment</t>
  </si>
  <si>
    <t>Answerer, Viewer</t>
  </si>
  <si>
    <t>answer-user-day</t>
  </si>
  <si>
    <t>Decrease # of likes</t>
  </si>
  <si>
    <t>GenAI introduction</t>
  </si>
  <si>
    <t>Questioner</t>
  </si>
  <si>
    <t>topic-week</t>
  </si>
  <si>
    <t>Reduce # of questions</t>
  </si>
  <si>
    <t>Stack Exchange</t>
  </si>
  <si>
    <t>Questioner, Answerer, Viewer</t>
  </si>
  <si>
    <t>post-day</t>
  </si>
  <si>
    <t>Reduce # of answers; make answers longer, more difficult to read</t>
  </si>
  <si>
    <t>Reduce # of views; increase # of likes</t>
  </si>
  <si>
    <t>Answerer</t>
  </si>
  <si>
    <t>user-day</t>
  </si>
  <si>
    <t>Increase # of answers; make answers shorter and easier to read</t>
  </si>
  <si>
    <t>Quora</t>
  </si>
  <si>
    <t>Internal GenAI</t>
  </si>
  <si>
    <t>question-week</t>
  </si>
  <si>
    <t>topic-day</t>
  </si>
  <si>
    <t>Reduce # of answers</t>
  </si>
  <si>
    <t>Reduce # of likes</t>
  </si>
  <si>
    <t>Increase # of questions</t>
  </si>
  <si>
    <t>Increase # of answers; increase acceptance ratio of answers</t>
  </si>
  <si>
    <t>Increase # of views</t>
  </si>
  <si>
    <t>Reduce # of questions; make questions higher quality (simpler questions disappear)</t>
  </si>
  <si>
    <t>Difference from external GenAI research</t>
  </si>
  <si>
    <t>Difference from Su et al. (and why they are positive impact)</t>
  </si>
  <si>
    <r>
      <rPr>
        <b/>
        <sz val="12"/>
        <color theme="1"/>
        <rFont val="Aptos Narrow"/>
        <scheme val="minor"/>
      </rPr>
      <t>we differentiate AI label effect and AI conent effect</t>
    </r>
    <r>
      <rPr>
        <sz val="12"/>
        <color theme="1"/>
        <rFont val="Aptos Narrow"/>
        <family val="2"/>
        <scheme val="minor"/>
      </rPr>
      <t>, they operate in opposite directions</t>
    </r>
  </si>
  <si>
    <r>
      <t xml:space="preserve">external GenAI competing </t>
    </r>
    <r>
      <rPr>
        <b/>
        <sz val="12"/>
        <color theme="1"/>
        <rFont val="Aptos Narrow"/>
        <scheme val="minor"/>
      </rPr>
      <t>against</t>
    </r>
    <r>
      <rPr>
        <sz val="12"/>
        <color theme="1"/>
        <rFont val="Aptos Narrow"/>
        <family val="2"/>
        <scheme val="minor"/>
      </rPr>
      <t xml:space="preserve"> the platform vs. internal GenAI competing </t>
    </r>
    <r>
      <rPr>
        <b/>
        <sz val="12"/>
        <color theme="1"/>
        <rFont val="Aptos Narrow"/>
        <scheme val="minor"/>
      </rPr>
      <t>within</t>
    </r>
    <r>
      <rPr>
        <sz val="12"/>
        <color theme="1"/>
        <rFont val="Aptos Narrow"/>
        <family val="2"/>
        <scheme val="minor"/>
      </rPr>
      <t xml:space="preserve"> the platform</t>
    </r>
  </si>
  <si>
    <t>(0.024)</t>
  </si>
  <si>
    <t>(0.105)</t>
  </si>
  <si>
    <r>
      <rPr>
        <b/>
        <sz val="12"/>
        <color theme="1"/>
        <rFont val="Aptos Narrow"/>
        <scheme val="minor"/>
      </rPr>
      <t xml:space="preserve">we explain their results: </t>
    </r>
    <r>
      <rPr>
        <sz val="12"/>
        <color theme="1"/>
        <rFont val="Aptos Narrow"/>
        <family val="2"/>
        <scheme val="minor"/>
      </rPr>
      <t>Su find AI label encourage contribution, we show AI deter = (AI label encourage + AI content decrease)</t>
    </r>
  </si>
  <si>
    <r>
      <rPr>
        <b/>
        <sz val="12"/>
        <color theme="1"/>
        <rFont val="Aptos Narrow"/>
        <scheme val="minor"/>
      </rPr>
      <t>different context:</t>
    </r>
    <r>
      <rPr>
        <sz val="12"/>
        <color theme="1"/>
        <rFont val="Aptos Narrow"/>
        <family val="2"/>
        <scheme val="minor"/>
      </rPr>
      <t xml:space="preserve"> Su's Quora treat AI as complemantary, our technical SegmentFault treat AI as competitor</t>
    </r>
  </si>
  <si>
    <r>
      <rPr>
        <b/>
        <sz val="12"/>
        <color theme="1"/>
        <rFont val="Aptos Narrow"/>
        <scheme val="minor"/>
      </rPr>
      <t>different experiment:</t>
    </r>
    <r>
      <rPr>
        <sz val="12"/>
        <color theme="1"/>
        <rFont val="Aptos Narrow"/>
        <family val="2"/>
        <scheme val="minor"/>
      </rPr>
      <t xml:space="preserve"> In Su et al. (2025) AI answers were provided to existing questions through </t>
    </r>
  </si>
  <si>
    <t>3 part</t>
  </si>
  <si>
    <t>LR</t>
  </si>
  <si>
    <t>summarize SSRN</t>
  </si>
  <si>
    <t>a paragraph MOST RECENT</t>
  </si>
  <si>
    <t>theory</t>
  </si>
  <si>
    <t>be context-engaged + convincing with citation</t>
  </si>
  <si>
    <t>outline (wondering) -&gt; AI</t>
  </si>
  <si>
    <t>Borwankar et al. (2026)</t>
  </si>
  <si>
    <t>del Rio-Chanona et al. (2024)</t>
  </si>
  <si>
    <t>Quinn &amp; Gutt (2025)</t>
  </si>
  <si>
    <t>Xue et al. (2026)</t>
  </si>
  <si>
    <t>Shan &amp; Qiu  (2026)</t>
  </si>
  <si>
    <t>Fang &amp; Zhou (2026)</t>
  </si>
  <si>
    <t>Zhihu</t>
  </si>
  <si>
    <t>user-month</t>
  </si>
  <si>
    <t>Increase # answers; make answer shorter</t>
  </si>
  <si>
    <t>Increase # views</t>
  </si>
  <si>
    <t>Rao et al, (2026)</t>
  </si>
  <si>
    <t>Questioner, Viewer</t>
  </si>
  <si>
    <t>user-week</t>
  </si>
  <si>
    <t>Increase # of questions; make questions longer, more novel; Increase # of upvotes of questions</t>
  </si>
  <si>
    <t>Su et al. (2025)</t>
  </si>
  <si>
    <t>Increase # of answers; make answers</t>
  </si>
  <si>
    <t>longer and similar to AI answers</t>
  </si>
  <si>
    <t>Make answers shorter, more negative and easier to read</t>
  </si>
  <si>
    <t>Reduce # of questions; make questions more complex and higher-quality</t>
  </si>
  <si>
    <t>Burtch et al. (2024)</t>
  </si>
  <si>
    <t>Sanatizadeh et al. (2025)</t>
  </si>
  <si>
    <t>Li &amp; Kim (2025)</t>
  </si>
  <si>
    <t xml:space="preserve">Wang &amp; Zheng (2024) </t>
  </si>
  <si>
    <t>Key Findings</t>
  </si>
  <si>
    <t>Technical</t>
  </si>
  <si>
    <t>Natural Exp.</t>
  </si>
  <si>
    <t>Rao et al. (2026)</t>
  </si>
  <si>
    <t>Wang &amp; Zheng (2024)</t>
  </si>
  <si>
    <t>External GenAI · General Community</t>
  </si>
  <si>
    <t>General</t>
  </si>
  <si>
    <t>NE + Experiment</t>
  </si>
  <si>
    <t>Community Domain</t>
  </si>
  <si>
    <t>SegmentFault</t>
  </si>
  <si>
    <t>External GenAI · Technical Community · Introduction of ChatGPT</t>
  </si>
  <si>
    <t>External GenAI · Technical Community · Ban ChatGPT</t>
  </si>
  <si>
    <t>Our Study (2026)</t>
  </si>
  <si>
    <t>Mechanism Identified</t>
  </si>
  <si>
    <t>Shan &amp; Qiu (2026, ISR)</t>
  </si>
  <si>
    <t>Xue et al. (2026, ISR)</t>
  </si>
  <si>
    <t>Quinn &amp; Gutt (2025, JMIS)</t>
  </si>
  <si>
    <t>Sanatizadeh et al. (2025, I&amp;M)</t>
  </si>
  <si>
    <t>Fang &amp; Zhou (2026, I&amp;M)</t>
  </si>
  <si>
    <t>How AI answers provided</t>
  </si>
  <si>
    <t xml:space="preserve"> Panel B: Research on The Impact of External GenAI</t>
  </si>
  <si>
    <t>Randomized Exp.</t>
  </si>
  <si>
    <t>Natural Exp. + Experiment</t>
  </si>
  <si>
    <t>Topic-Week</t>
  </si>
  <si>
    <t>Post-Day</t>
  </si>
  <si>
    <t>User-Day</t>
  </si>
  <si>
    <t>User-Week</t>
  </si>
  <si>
    <t>Topic-Day</t>
  </si>
  <si>
    <t>Answer-User-Day</t>
  </si>
  <si>
    <t>User-Month</t>
  </si>
  <si>
    <t>Question-Week</t>
  </si>
  <si>
    <t>↓ Questions</t>
  </si>
  <si>
    <t>↑ Answers; ↑ Answer length</t>
  </si>
  <si>
    <t>↑ Answers; Answers shorter; ↑ Views</t>
  </si>
  <si>
    <t>↑ Questions; ↑ Answers &amp; Acceptance; ↑ Views</t>
  </si>
  <si>
    <t>Answers shorter &amp; more negative; ↓ Likes</t>
  </si>
  <si>
    <t>↓ Questions; Remaining questions more complex &amp; higher quality; ↓ Answers; Answers longer &amp; harder to read; ↓ Views; ↑ Likes</t>
  </si>
  <si>
    <t>↓ Answers; ↓ Likes</t>
  </si>
  <si>
    <t>↑ Questions; Questions longer &amp; more novel; ↑ Upvotes</t>
  </si>
  <si>
    <t>↓ Questions; Remaining questions ↑ quality</t>
  </si>
  <si>
    <t>↑ Answers; Answers shorter &amp; easier to read</t>
  </si>
  <si>
    <t>Question</t>
  </si>
  <si>
    <t>↓ Answers; ↑ Answers quality</t>
  </si>
  <si>
    <r>
      <t xml:space="preserve">Provided to </t>
    </r>
    <r>
      <rPr>
        <b/>
        <sz val="9"/>
        <color theme="1"/>
        <rFont val="Arial"/>
        <family val="2"/>
      </rPr>
      <t>existing questions</t>
    </r>
    <r>
      <rPr>
        <sz val="9"/>
        <color theme="1"/>
        <rFont val="Arial"/>
        <family val="2"/>
      </rPr>
      <t xml:space="preserve"> through batch processing</t>
    </r>
  </si>
  <si>
    <r>
      <rPr>
        <b/>
        <sz val="9"/>
        <color theme="1"/>
        <rFont val="Arial"/>
        <family val="2"/>
      </rPr>
      <t>Randomly</t>
    </r>
    <r>
      <rPr>
        <sz val="9"/>
        <color theme="1"/>
        <rFont val="Arial"/>
        <family val="2"/>
      </rPr>
      <t xml:space="preserve"> provided to </t>
    </r>
    <r>
      <rPr>
        <b/>
        <sz val="9"/>
        <color theme="1"/>
        <rFont val="Arial"/>
        <family val="2"/>
      </rPr>
      <t>new questions</t>
    </r>
  </si>
  <si>
    <t>AI label effect → Boost contribution willing
AI conformity → Increase human-AI similarity → Increase length</t>
  </si>
  <si>
    <t>AI label → Weak competitor perception → Boost contribution
AI length → Signal comprehensiveness → Deter contribution 
AI quality → Make human differentiate → Boost quality</t>
  </si>
  <si>
    <t>question complexity subgroup analysis (direct test 1)</t>
  </si>
  <si>
    <t>direct test 2</t>
  </si>
  <si>
    <t>logic: if weak competitor is the mechanism, when first answer is AI rather than human, AI label motivate more contributions</t>
  </si>
  <si>
    <t>prediction: AI label effect positive effect</t>
  </si>
  <si>
    <t>harzard second answer</t>
  </si>
  <si>
    <t>0.897 ***</t>
  </si>
  <si>
    <t>any human answer within 7 days</t>
  </si>
  <si>
    <t>harzard first human answer</t>
  </si>
  <si>
    <t>-0.065 ***</t>
  </si>
  <si>
    <t>0.288 *</t>
  </si>
  <si>
    <t>-0.145 ***</t>
  </si>
  <si>
    <t>1.113 ***</t>
  </si>
  <si>
    <t>(0.314)</t>
  </si>
  <si>
    <t>-0.062 **</t>
  </si>
  <si>
    <t>-0.227 ***</t>
  </si>
  <si>
    <t>(0.019)</t>
  </si>
  <si>
    <t>(0.052)</t>
  </si>
  <si>
    <t>-0.005</t>
  </si>
  <si>
    <t>0.056</t>
  </si>
  <si>
    <t>(0.070)</t>
  </si>
  <si>
    <t>(0.197)</t>
  </si>
  <si>
    <t>Platform (domain)</t>
  </si>
  <si>
    <t>Source of variation</t>
  </si>
  <si>
    <t>Unit of analysis</t>
  </si>
  <si>
    <t>AI source identifiable to users</t>
  </si>
  <si>
    <t>Question supply</t>
  </si>
  <si>
    <t>Answer supply</t>
  </si>
  <si>
    <r>
      <t>Role 1. AI as a substitute for the community</t>
    </r>
    <r>
      <rPr>
        <sz val="12"/>
        <color theme="1"/>
        <rFont val="Times New Roman"/>
        <family val="1"/>
      </rPr>
      <t xml:space="preserve"> (AI acts before questions reach the platform)</t>
    </r>
  </si>
  <si>
    <t>Stack Overflow (technical)</t>
  </si>
  <si>
    <t>ChatGPT release</t>
  </si>
  <si>
    <t>Topic-week</t>
  </si>
  <si>
    <t>−</t>
  </si>
  <si>
    <t>Stack Exchange (technical)</t>
  </si>
  <si>
    <t>Topic-day</t>
  </si>
  <si>
    <t>Post-day</t>
  </si>
  <si>
    <t>No</t>
  </si>
  <si>
    <r>
      <t>Role 2. AI as the answerer's instrument</t>
    </r>
    <r>
      <rPr>
        <sz val="12"/>
        <color theme="1"/>
        <rFont val="Times New Roman"/>
        <family val="1"/>
      </rPr>
      <t xml:space="preserve"> (AI enters human answers as an unattributed input)</t>
    </r>
  </si>
  <si>
    <t>Shan &amp; Qiu (2026)</t>
  </si>
  <si>
    <t>User-day</t>
  </si>
  <si>
    <t>+</t>
  </si>
  <si>
    <t>User-week</t>
  </si>
  <si>
    <t>Zhihu (general)</t>
  </si>
  <si>
    <t>User-month</t>
  </si>
  <si>
    <r>
      <t xml:space="preserve">ChatGPT </t>
    </r>
    <r>
      <rPr>
        <b/>
        <sz val="12"/>
        <color theme="1"/>
        <rFont val="Times New Roman"/>
        <family val="1"/>
      </rPr>
      <t>ban</t>
    </r>
  </si>
  <si>
    <t>+; acceptance +</t>
  </si>
  <si>
    <t>Answer-user-day</t>
  </si>
  <si>
    <r>
      <t>Role 3. AI as an identified rival contributor</t>
    </r>
    <r>
      <rPr>
        <sz val="12"/>
        <color theme="1"/>
        <rFont val="Times New Roman"/>
        <family val="1"/>
      </rPr>
      <t xml:space="preserve"> (AI posts labeled answers alongside humans)</t>
    </r>
  </si>
  <si>
    <t>Quora (general)</t>
  </si>
  <si>
    <t>Question-week</t>
  </si>
  <si>
    <t>Yes (labeled)</t>
  </si>
  <si>
    <t>This study</t>
  </si>
  <si>
    <t>SegmentFault (technical)</t>
  </si>
  <si>
    <t>Dimension</t>
  </si>
  <si>
    <t>Locus of AI</t>
  </si>
  <si>
    <t>External</t>
  </si>
  <si>
    <t>Platform-internal</t>
  </si>
  <si>
    <t>AI's relation to the human answerer</t>
  </si>
  <si>
    <t>None; diverts questions before arrival</t>
  </si>
  <si>
    <t>Collaborator and writing aid</t>
  </si>
  <si>
    <t>Delayed supplement to an existing discussion</t>
  </si>
  <si>
    <t>Direct rival on the same question</t>
  </si>
  <si>
    <t>AI content identifiable as machine-produced</t>
  </si>
  <si>
    <t>Timing of AI answer relative to human answers</t>
  </si>
  <si>
    <t>≈3 months after posting, once human answers have accumulated</t>
  </si>
  <si>
    <t>Domain and basis of contribution value</t>
  </si>
  <si>
    <t>Technical; correctness</t>
  </si>
  <si>
    <t>General-interest; experience and interpretation</t>
  </si>
  <si>
    <t>Technical; correctness and efficiency</t>
  </si>
  <si>
    <t>Identification strategy</t>
  </si>
  <si>
    <t>Natural experiment</t>
  </si>
  <si>
    <t>Natural experiment and lab experiment</t>
  </si>
  <si>
    <t>Field randomization at the question level</t>
  </si>
  <si>
    <r>
      <t xml:space="preserve">Separates AI </t>
    </r>
    <r>
      <rPr>
        <i/>
        <sz val="12"/>
        <color theme="1"/>
        <rFont val="Times New Roman"/>
        <family val="1"/>
      </rPr>
      <t>label</t>
    </r>
    <r>
      <rPr>
        <sz val="12"/>
        <color theme="1"/>
        <rFont val="Times New Roman"/>
        <family val="1"/>
      </rPr>
      <t xml:space="preserve"> from AI </t>
    </r>
    <r>
      <rPr>
        <i/>
        <sz val="12"/>
        <color theme="1"/>
        <rFont val="Times New Roman"/>
        <family val="1"/>
      </rPr>
      <t>content</t>
    </r>
  </si>
  <si>
    <t>Not the focus</t>
  </si>
  <si>
    <r>
      <t>Yes</t>
    </r>
    <r>
      <rPr>
        <sz val="12"/>
        <color theme="1"/>
        <rFont val="Times New Roman"/>
        <family val="1"/>
      </rPr>
      <t>; central to the design</t>
    </r>
  </si>
  <si>
    <t>Primary outcome</t>
  </si>
  <si>
    <t>Answer supply and style</t>
  </si>
  <si>
    <t>Answer supply and length</t>
  </si>
  <si>
    <r>
      <t xml:space="preserve">Answer supply </t>
    </r>
    <r>
      <rPr>
        <b/>
        <sz val="12"/>
        <color theme="1"/>
        <rFont val="Times New Roman"/>
        <family val="1"/>
      </rPr>
      <t>and</t>
    </r>
    <r>
      <rPr>
        <sz val="12"/>
        <color theme="1"/>
        <rFont val="Times New Roman"/>
        <family val="1"/>
      </rPr>
      <t xml:space="preserve"> contribution quality</t>
    </r>
  </si>
  <si>
    <t>−; remaining questions more complex</t>
  </si>
  <si>
    <t>−; remaining questions higher quality</t>
  </si>
  <si>
    <t>−; longer, less readable</t>
  </si>
  <si>
    <t>+; shorter, more readable</t>
  </si>
  <si>
    <t>+ (individual level); remaining questions longer &amp; more novel</t>
  </si>
  <si>
    <t>Answers shorter &amp; more negative</t>
  </si>
  <si>
    <t>+; shorter</t>
  </si>
  <si>
    <t>+, longer (learning from AI)</t>
  </si>
  <si>
    <t>−, differentiation from AI</t>
  </si>
  <si>
    <t>AI answers are generated immediately after question posting and listed before any human answer</t>
  </si>
  <si>
    <t>Internal GenAI; 
Answers added ≈3 months after posting</t>
  </si>
  <si>
    <r>
      <t xml:space="preserve">Internal GenAI; 
</t>
    </r>
    <r>
      <rPr>
        <b/>
        <sz val="12"/>
        <color theme="1"/>
        <rFont val="Times New Roman"/>
        <family val="1"/>
      </rPr>
      <t>Randomized exp. at question level</t>
    </r>
    <r>
      <rPr>
        <sz val="12"/>
        <color theme="1"/>
        <rFont val="Times New Roman"/>
        <family val="1"/>
      </rPr>
      <t>; 
AI answers generated immediately after question posting and listed before any human answer</t>
    </r>
  </si>
  <si>
    <t>Not applicable
(due to question level randomization)</t>
  </si>
  <si>
    <t>3,612</t>
  </si>
  <si>
    <t>2,726</t>
  </si>
  <si>
    <t>-0.046***</t>
  </si>
  <si>
    <t>0.188*</t>
  </si>
  <si>
    <t>0.001</t>
  </si>
  <si>
    <t>(0.081)</t>
  </si>
  <si>
    <t xml:space="preserve"> </t>
  </si>
  <si>
    <t>-0.046**</t>
  </si>
  <si>
    <t>0.004</t>
  </si>
  <si>
    <t>(0.004)</t>
  </si>
  <si>
    <t>(0.036)</t>
  </si>
  <si>
    <t>2,377</t>
  </si>
  <si>
    <t>1,235</t>
  </si>
  <si>
    <t>0.282**</t>
  </si>
  <si>
    <t>-0.046</t>
  </si>
  <si>
    <t>-0.017</t>
  </si>
  <si>
    <t>0.012</t>
  </si>
  <si>
    <t>(0.008)</t>
  </si>
  <si>
    <t>-0.044**</t>
  </si>
  <si>
    <t>-0.028·</t>
  </si>
  <si>
    <t>-0.007*</t>
  </si>
  <si>
    <t>0.048</t>
  </si>
  <si>
    <t>(0.091)</t>
  </si>
  <si>
    <t>2,747</t>
  </si>
  <si>
    <t>AI</t>
  </si>
  <si>
    <t>0.083*</t>
  </si>
  <si>
    <t>Human 1 Accuracy</t>
  </si>
  <si>
    <t>2,728</t>
  </si>
  <si>
    <t>0.852</t>
  </si>
  <si>
    <t>(0.039)</t>
  </si>
  <si>
    <t>Similarity (AI Answer, Human Answer)</t>
  </si>
  <si>
    <t>1,277</t>
  </si>
  <si>
    <t>0.011***</t>
  </si>
  <si>
    <t>0.168*</t>
  </si>
  <si>
    <t>0.468*</t>
  </si>
  <si>
    <t>-0.041**</t>
  </si>
  <si>
    <t>-0.117***</t>
  </si>
  <si>
    <t>0.003</t>
  </si>
  <si>
    <t>0.010</t>
  </si>
  <si>
    <t>0.469*</t>
  </si>
  <si>
    <t>(0.224)</t>
  </si>
  <si>
    <t>-0.117**</t>
  </si>
  <si>
    <t>0.411</t>
  </si>
  <si>
    <t>0.410</t>
  </si>
  <si>
    <t>(0.603)</t>
  </si>
  <si>
    <t>-0.204·</t>
  </si>
  <si>
    <t>(0.106)</t>
  </si>
  <si>
    <t>0.114**</t>
  </si>
  <si>
    <t>11959.154</t>
  </si>
  <si>
    <t>13088.076</t>
  </si>
  <si>
    <t>-5788.577</t>
  </si>
  <si>
    <t>0.167*</t>
  </si>
  <si>
    <t>0.185*</t>
  </si>
  <si>
    <t>0.190</t>
  </si>
  <si>
    <t>0.235*</t>
  </si>
  <si>
    <t>0.212*</t>
  </si>
  <si>
    <t>-0.040**</t>
  </si>
  <si>
    <t>-0.000</t>
  </si>
  <si>
    <t>(0.006)</t>
  </si>
  <si>
    <t>-0.216</t>
  </si>
  <si>
    <t>0.346</t>
  </si>
  <si>
    <t>0.320</t>
  </si>
  <si>
    <t>(1.028)</t>
  </si>
  <si>
    <t>(0.861)</t>
  </si>
  <si>
    <t>(0.700)</t>
  </si>
  <si>
    <t>-0.059</t>
  </si>
  <si>
    <t>-0.180</t>
  </si>
  <si>
    <t>-0.230·</t>
  </si>
  <si>
    <t>(0.194)</t>
  </si>
  <si>
    <t>(0.155)</t>
  </si>
  <si>
    <t>(0.124)</t>
  </si>
  <si>
    <t>0.110</t>
  </si>
  <si>
    <t>0.106·</t>
  </si>
  <si>
    <t>0.149**</t>
  </si>
  <si>
    <t>(0.074)</t>
  </si>
  <si>
    <t>(0.057)</t>
  </si>
  <si>
    <t>(0.045)</t>
  </si>
  <si>
    <t>Random Effect</t>
  </si>
  <si>
    <r>
      <t>AI</t>
    </r>
    <r>
      <rPr>
        <i/>
        <vertAlign val="subscript"/>
        <sz val="10"/>
        <color rgb="FF000000"/>
        <rFont val="Times New Roman"/>
        <family val="1"/>
      </rPr>
      <t>i</t>
    </r>
    <r>
      <rPr>
        <i/>
        <sz val="10"/>
        <color rgb="FF000000"/>
        <rFont val="Times New Roman"/>
        <family val="1"/>
      </rPr>
      <t xml:space="preserve"> * Length</t>
    </r>
    <r>
      <rPr>
        <i/>
        <vertAlign val="subscript"/>
        <sz val="10"/>
        <color rgb="FF000000"/>
        <rFont val="Times New Roman"/>
        <family val="1"/>
      </rPr>
      <t>i</t>
    </r>
  </si>
  <si>
    <r>
      <t>AI</t>
    </r>
    <r>
      <rPr>
        <i/>
        <vertAlign val="subscript"/>
        <sz val="10"/>
        <color rgb="FF000000"/>
        <rFont val="Times New Roman"/>
        <family val="1"/>
      </rPr>
      <t>i</t>
    </r>
    <r>
      <rPr>
        <i/>
        <sz val="10"/>
        <color rgb="FF000000"/>
        <rFont val="Times New Roman"/>
        <family val="1"/>
      </rPr>
      <t xml:space="preserve"> * Quality</t>
    </r>
    <r>
      <rPr>
        <i/>
        <vertAlign val="subscript"/>
        <sz val="10"/>
        <color rgb="FF000000"/>
        <rFont val="Times New Roman"/>
        <family val="1"/>
      </rPr>
      <t>i</t>
    </r>
  </si>
  <si>
    <r>
      <t>AI</t>
    </r>
    <r>
      <rPr>
        <i/>
        <vertAlign val="subscript"/>
        <sz val="10"/>
        <color rgb="FF000000"/>
        <rFont val="Times New Roman"/>
        <family val="1"/>
      </rPr>
      <t>i</t>
    </r>
    <r>
      <rPr>
        <i/>
        <sz val="10"/>
        <color rgb="FF000000"/>
        <rFont val="Times New Roman"/>
        <family val="1"/>
      </rPr>
      <t xml:space="preserve"> * Coverage</t>
    </r>
    <r>
      <rPr>
        <i/>
        <vertAlign val="subscript"/>
        <sz val="10"/>
        <color rgb="FF000000"/>
        <rFont val="Times New Roman"/>
        <family val="1"/>
      </rPr>
      <t>i</t>
    </r>
  </si>
  <si>
    <r>
      <t>AIAnswerQuality</t>
    </r>
    <r>
      <rPr>
        <i/>
        <vertAlign val="subscript"/>
        <sz val="10"/>
        <color rgb="FF000000"/>
        <rFont val="Times New Roman"/>
        <family val="1"/>
      </rPr>
      <t>i</t>
    </r>
  </si>
  <si>
    <r>
      <t>AIAnswerLength</t>
    </r>
    <r>
      <rPr>
        <i/>
        <vertAlign val="subscript"/>
        <sz val="10"/>
        <color rgb="FF000000"/>
        <rFont val="Times New Roman"/>
        <family val="1"/>
      </rPr>
      <t>i</t>
    </r>
  </si>
  <si>
    <t>First answer quality</t>
  </si>
  <si>
    <t>DV: Log(answer number in 7 days)</t>
  </si>
  <si>
    <t>DV: answer number in 7 days</t>
  </si>
  <si>
    <t>DV: Log(answer number in N days)</t>
  </si>
  <si>
    <t>DV: Log(answer number in  the full observation period)</t>
  </si>
  <si>
    <t>DV: # human answers</t>
  </si>
  <si>
    <t>DV: quality first human answer</t>
  </si>
  <si>
    <t>mean</t>
  </si>
  <si>
    <t>std</t>
  </si>
  <si>
    <t>treatment</t>
  </si>
  <si>
    <t>log_textLengthCNAI_fillna</t>
  </si>
  <si>
    <t>treatment:log_textLengthCNAI_fillna</t>
  </si>
  <si>
    <t>Human</t>
  </si>
  <si>
    <t>AISimWithOpus47_fillna</t>
  </si>
  <si>
    <t>AI Answer</t>
  </si>
  <si>
    <t>DV:  first human answer quality</t>
  </si>
  <si>
    <t>qualityAI_fillna</t>
  </si>
  <si>
    <t>treatment:qualityAI_fillna</t>
  </si>
  <si>
    <t>0.236*</t>
  </si>
  <si>
    <t>(0.115)</t>
  </si>
  <si>
    <t>(0.127)</t>
  </si>
  <si>
    <t>(0.090)</t>
  </si>
  <si>
    <t>-0.067***</t>
  </si>
  <si>
    <t>-0.047***</t>
  </si>
  <si>
    <t>-0.041·</t>
  </si>
  <si>
    <t>-0.050**</t>
  </si>
  <si>
    <t>(0.134)</t>
  </si>
  <si>
    <t>-0.059***</t>
  </si>
  <si>
    <t>0.202**</t>
  </si>
  <si>
    <t>(0.519)</t>
  </si>
  <si>
    <t>(0.726)</t>
  </si>
  <si>
    <t>-0.239·</t>
  </si>
  <si>
    <t>(0.129)</t>
  </si>
  <si>
    <t>(0.032)</t>
  </si>
  <si>
    <t>(0.041)</t>
  </si>
  <si>
    <t>(0.718)</t>
  </si>
  <si>
    <t>-0.204</t>
  </si>
  <si>
    <t>(0.128)</t>
  </si>
  <si>
    <t>(0.037)</t>
  </si>
  <si>
    <t>DV: First answer quality</t>
  </si>
  <si>
    <t>2,727</t>
  </si>
  <si>
    <t>0.072</t>
  </si>
  <si>
    <t>No AI 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</si>
</sst>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2"/>
      <color theme="1"/>
      <name val="Aptos Narrow"/>
      <family val="2"/>
      <scheme val="minor"/>
    </font>
    <font>
      <sz val="10"/>
      <color theme="1"/>
      <name val="Georgia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i/>
      <vertAlign val="subscript"/>
      <sz val="10"/>
      <color rgb="FF000000"/>
      <name val="Times New Roman"/>
      <family val="1"/>
    </font>
    <font>
      <sz val="10"/>
      <color theme="1"/>
      <name val="DengXian"/>
      <family val="4"/>
      <charset val="134"/>
    </font>
    <font>
      <i/>
      <sz val="10"/>
      <color theme="1"/>
      <name val="Times New Roman"/>
      <family val="1"/>
    </font>
    <font>
      <i/>
      <vertAlign val="subscript"/>
      <sz val="10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DengXian"/>
      <family val="4"/>
      <charset val="134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i/>
      <vertAlign val="subscript"/>
      <sz val="11"/>
      <color theme="1"/>
      <name val="Times New Roman"/>
      <family val="1"/>
    </font>
    <font>
      <sz val="12"/>
      <color theme="5"/>
      <name val="Aptos Narrow"/>
      <family val="2"/>
      <scheme val="minor"/>
    </font>
    <font>
      <sz val="12"/>
      <color theme="2" tint="-9.9978637043366805E-2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2" tint="-9.9978637043366805E-2"/>
      <name val="Aptos Narrow"/>
      <family val="2"/>
      <scheme val="minor"/>
    </font>
    <font>
      <b/>
      <sz val="10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color rgb="FFFF0000"/>
      <name val="Times New Roman"/>
      <family val="1"/>
    </font>
    <font>
      <sz val="12"/>
      <color theme="1"/>
      <name val="Aptos Narrow"/>
      <scheme val="minor"/>
    </font>
    <font>
      <b/>
      <sz val="9"/>
      <color rgb="FFFF0000"/>
      <name val="Times New Roman"/>
      <family val="1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12"/>
      <color theme="1"/>
      <name val="Aptos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49" fontId="0" fillId="0" borderId="0" xfId="0" applyNumberFormat="1"/>
    <xf numFmtId="49" fontId="15" fillId="0" borderId="0" xfId="0" applyNumberFormat="1" applyFont="1"/>
    <xf numFmtId="0" fontId="15" fillId="0" borderId="0" xfId="0" applyFont="1"/>
    <xf numFmtId="49" fontId="16" fillId="0" borderId="0" xfId="0" applyNumberFormat="1" applyFont="1"/>
    <xf numFmtId="0" fontId="16" fillId="0" borderId="0" xfId="0" applyFont="1"/>
    <xf numFmtId="0" fontId="17" fillId="0" borderId="0" xfId="0" applyFont="1"/>
    <xf numFmtId="49" fontId="1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vertical="center"/>
    </xf>
    <xf numFmtId="49" fontId="3" fillId="0" borderId="1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vertical="center" wrapText="1"/>
    </xf>
    <xf numFmtId="49" fontId="19" fillId="0" borderId="0" xfId="0" applyNumberFormat="1" applyFont="1" applyAlignment="1">
      <alignment horizontal="center" vertical="center"/>
    </xf>
    <xf numFmtId="49" fontId="19" fillId="0" borderId="1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0" borderId="0" xfId="0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3" fontId="2" fillId="0" borderId="1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wrapText="1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3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0" fontId="10" fillId="0" borderId="0" xfId="0" applyFont="1"/>
    <xf numFmtId="0" fontId="3" fillId="0" borderId="2" xfId="0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3" fontId="3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22" fillId="0" borderId="0" xfId="0" applyFont="1"/>
    <xf numFmtId="0" fontId="20" fillId="0" borderId="7" xfId="0" applyFont="1" applyBorder="1" applyAlignment="1">
      <alignment horizontal="center" vertical="center" wrapText="1"/>
    </xf>
    <xf numFmtId="0" fontId="20" fillId="0" borderId="0" xfId="0" applyFont="1" applyAlignment="1">
      <alignment horizontal="justify" vertical="center" wrapText="1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3" fillId="0" borderId="0" xfId="0" applyFont="1" applyAlignment="1">
      <alignment horizontal="justify" vertical="center" wrapText="1"/>
    </xf>
    <xf numFmtId="0" fontId="23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0" fillId="0" borderId="8" xfId="0" applyFont="1" applyBorder="1" applyAlignment="1">
      <alignment vertical="center" wrapText="1"/>
    </xf>
    <xf numFmtId="0" fontId="25" fillId="0" borderId="4" xfId="0" applyFont="1" applyBorder="1" applyAlignment="1">
      <alignment vertical="center"/>
    </xf>
    <xf numFmtId="0" fontId="25" fillId="0" borderId="4" xfId="0" applyFont="1" applyBorder="1" applyAlignment="1">
      <alignment vertical="center" wrapText="1"/>
    </xf>
    <xf numFmtId="0" fontId="26" fillId="0" borderId="4" xfId="0" applyFont="1" applyBorder="1" applyAlignment="1">
      <alignment vertical="center"/>
    </xf>
    <xf numFmtId="0" fontId="24" fillId="0" borderId="4" xfId="0" applyFont="1" applyBorder="1" applyAlignment="1">
      <alignment horizontal="center" vertical="center" wrapText="1"/>
    </xf>
    <xf numFmtId="0" fontId="24" fillId="0" borderId="4" xfId="0" applyFont="1" applyBorder="1" applyAlignment="1">
      <alignment vertical="center" wrapText="1"/>
    </xf>
    <xf numFmtId="0" fontId="24" fillId="0" borderId="4" xfId="0" applyFont="1" applyBorder="1" applyAlignment="1">
      <alignment vertical="center"/>
    </xf>
    <xf numFmtId="0" fontId="10" fillId="0" borderId="13" xfId="0" applyFont="1" applyBorder="1" applyAlignment="1">
      <alignment horizontal="center" vertical="center" wrapText="1"/>
    </xf>
    <xf numFmtId="0" fontId="10" fillId="0" borderId="13" xfId="0" applyFont="1" applyBorder="1" applyAlignment="1">
      <alignment vertical="center" wrapText="1"/>
    </xf>
    <xf numFmtId="0" fontId="28" fillId="0" borderId="13" xfId="0" applyFont="1" applyBorder="1" applyAlignment="1">
      <alignment vertical="center" wrapText="1"/>
    </xf>
    <xf numFmtId="49" fontId="10" fillId="0" borderId="13" xfId="0" applyNumberFormat="1" applyFont="1" applyBorder="1" applyAlignment="1">
      <alignment horizontal="center" vertical="center" wrapText="1"/>
    </xf>
    <xf numFmtId="49" fontId="10" fillId="0" borderId="13" xfId="0" applyNumberFormat="1" applyFont="1" applyBorder="1" applyAlignment="1">
      <alignment vertical="center" wrapText="1"/>
    </xf>
    <xf numFmtId="49" fontId="27" fillId="0" borderId="13" xfId="0" applyNumberFormat="1" applyFont="1" applyBorder="1" applyAlignment="1">
      <alignment vertical="center" wrapText="1"/>
    </xf>
    <xf numFmtId="49" fontId="28" fillId="0" borderId="13" xfId="0" applyNumberFormat="1" applyFont="1" applyBorder="1" applyAlignment="1">
      <alignment vertical="center" wrapText="1"/>
    </xf>
    <xf numFmtId="49" fontId="12" fillId="0" borderId="13" xfId="0" applyNumberFormat="1" applyFont="1" applyBorder="1" applyAlignment="1">
      <alignment vertical="center" wrapText="1"/>
    </xf>
    <xf numFmtId="0" fontId="30" fillId="0" borderId="0" xfId="0" applyFont="1"/>
    <xf numFmtId="0" fontId="0" fillId="2" borderId="0" xfId="0" applyFill="1"/>
    <xf numFmtId="0" fontId="0" fillId="0" borderId="0" xfId="0" applyAlignment="1">
      <alignment horizontal="right" vertical="center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12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20" fillId="0" borderId="0" xfId="0" applyFont="1" applyAlignment="1">
      <alignment horizontal="justify" vertical="center" wrapText="1"/>
    </xf>
    <xf numFmtId="0" fontId="20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4" fillId="0" borderId="4" xfId="0" applyFont="1" applyBorder="1" applyAlignment="1">
      <alignment horizontal="left" vertical="center"/>
    </xf>
    <xf numFmtId="0" fontId="21" fillId="0" borderId="0" xfId="0" applyFont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justify" vertical="center" wrapText="1"/>
    </xf>
    <xf numFmtId="0" fontId="20" fillId="0" borderId="9" xfId="0" applyFont="1" applyBorder="1" applyAlignment="1">
      <alignment horizontal="justify" vertical="center" wrapText="1"/>
    </xf>
    <xf numFmtId="0" fontId="20" fillId="0" borderId="9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left" vertical="center" wrapText="1"/>
    </xf>
    <xf numFmtId="0" fontId="26" fillId="0" borderId="4" xfId="0" applyFont="1" applyBorder="1" applyAlignment="1">
      <alignment horizontal="left" vertical="center" wrapText="1"/>
    </xf>
    <xf numFmtId="49" fontId="10" fillId="0" borderId="14" xfId="0" applyNumberFormat="1" applyFont="1" applyBorder="1" applyAlignment="1">
      <alignment horizontal="left" vertical="center" wrapText="1"/>
    </xf>
    <xf numFmtId="49" fontId="10" fillId="0" borderId="15" xfId="0" applyNumberFormat="1" applyFont="1" applyBorder="1" applyAlignment="1">
      <alignment horizontal="left" vertical="center" wrapText="1"/>
    </xf>
    <xf numFmtId="49" fontId="10" fillId="0" borderId="16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F9F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58898783623088"/>
          <c:y val="5.6745720814710666E-2"/>
          <c:w val="0.75834536036245515"/>
          <c:h val="0.75926640516999511"/>
        </c:manualLayout>
      </c:layout>
      <c:scatterChart>
        <c:scatterStyle val="lineMarker"/>
        <c:varyColors val="0"/>
        <c:ser>
          <c:idx val="0"/>
          <c:order val="0"/>
          <c:tx>
            <c:strRef>
              <c:f>'interaction plot (with non-sig)'!$B$17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flat" cmpd="sng" algn="ctr">
              <a:solidFill>
                <a:schemeClr val="accent4"/>
              </a:solidFill>
              <a:prstDash val="solid"/>
              <a:miter lim="800000"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flat" cmpd="sng" algn="ctr">
                <a:solidFill>
                  <a:schemeClr val="accent4"/>
                </a:solidFill>
                <a:prstDash val="dash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1-B422-DC46-849B-422DC2E3D891}"/>
              </c:ext>
            </c:extLst>
          </c:dPt>
          <c:xVal>
            <c:numRef>
              <c:f>'interaction plot (with non-sig)'!$A$18:$A$22</c:f>
              <c:numCache>
                <c:formatCode>General</c:formatCode>
                <c:ptCount val="5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7</c:v>
                </c:pt>
                <c:pt idx="4">
                  <c:v>0</c:v>
                </c:pt>
              </c:numCache>
            </c:numRef>
          </c:xVal>
          <c:yVal>
            <c:numRef>
              <c:f>'interaction plot (with non-sig)'!$B$18:$B$22</c:f>
              <c:numCache>
                <c:formatCode>General</c:formatCode>
                <c:ptCount val="5"/>
                <c:pt idx="0">
                  <c:v>-7.0245300999999968E-2</c:v>
                </c:pt>
                <c:pt idx="1">
                  <c:v>-1.9129870999999979E-2</c:v>
                </c:pt>
                <c:pt idx="2">
                  <c:v>0.188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422-DC46-849B-422DC2E3D891}"/>
            </c:ext>
          </c:extLst>
        </c:ser>
        <c:ser>
          <c:idx val="1"/>
          <c:order val="1"/>
          <c:tx>
            <c:strRef>
              <c:f>'interaction plot (with non-sig)'!$C$17</c:f>
              <c:strCache>
                <c:ptCount val="1"/>
                <c:pt idx="0">
                  <c:v>No AI Answer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B422-DC46-849B-422DC2E3D891}"/>
              </c:ext>
            </c:extLst>
          </c:dPt>
          <c:xVal>
            <c:numRef>
              <c:f>'interaction plot (with non-sig)'!$A$21:$A$22</c:f>
              <c:numCache>
                <c:formatCode>General</c:formatCode>
                <c:ptCount val="2"/>
                <c:pt idx="0">
                  <c:v>7</c:v>
                </c:pt>
                <c:pt idx="1">
                  <c:v>0</c:v>
                </c:pt>
              </c:numCache>
            </c:numRef>
          </c:xVal>
          <c:yVal>
            <c:numRef>
              <c:f>'interaction plot (with non-sig)'!$C$21:$C$22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422-DC46-849B-422DC2E3D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614864"/>
        <c:axId val="1273614384"/>
      </c:scatterChart>
      <c:valAx>
        <c:axId val="1273614384"/>
        <c:scaling>
          <c:orientation val="minMax"/>
          <c:max val="0.4"/>
          <c:min val="-0.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#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Human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Answer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within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7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864"/>
        <c:crosses val="autoZero"/>
        <c:crossBetween val="midCat"/>
        <c:majorUnit val="0.2"/>
      </c:valAx>
      <c:valAx>
        <c:axId val="1273614864"/>
        <c:scaling>
          <c:orientation val="minMax"/>
          <c:max val="7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AI</a:t>
                </a:r>
                <a:r>
                  <a:rPr lang="zh-CN"/>
                  <a:t> </a:t>
                </a:r>
                <a:r>
                  <a:rPr lang="en-US"/>
                  <a:t>answer</a:t>
                </a:r>
                <a:r>
                  <a:rPr lang="zh-CN"/>
                  <a:t> </a:t>
                </a:r>
                <a:r>
                  <a:rPr lang="en-US"/>
                  <a:t>Length</a:t>
                </a:r>
              </a:p>
            </c:rich>
          </c:tx>
          <c:layout>
            <c:manualLayout>
              <c:xMode val="edge"/>
              <c:yMode val="edge"/>
              <c:x val="0.37847856559201215"/>
              <c:y val="0.908390981544387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384"/>
        <c:crossesAt val="-0.30000000000000004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825909791468757"/>
          <c:y val="0.10924970324905096"/>
          <c:w val="0.3334735333390908"/>
          <c:h val="0.177733906834148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166413041912891"/>
          <c:y val="4.3874636000693454E-2"/>
          <c:w val="0.76843150800609039"/>
          <c:h val="0.77262652213356342"/>
        </c:manualLayout>
      </c:layout>
      <c:scatterChart>
        <c:scatterStyle val="lineMarker"/>
        <c:varyColors val="0"/>
        <c:ser>
          <c:idx val="0"/>
          <c:order val="0"/>
          <c:tx>
            <c:strRef>
              <c:f>'interaction plot (with non-sig)'!$B$25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rnd">
              <a:solidFill>
                <a:srgbClr val="0F9FD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solidFill>
                  <a:srgbClr val="0F9FD5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1B4-BB4A-96D7-332F8595F9D0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solidFill>
                  <a:srgbClr val="0F9FD5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71B4-BB4A-96D7-332F8595F9D0}"/>
              </c:ext>
            </c:extLst>
          </c:dPt>
          <c:xVal>
            <c:numRef>
              <c:f>'interaction plot (with non-sig)'!$A$28:$A$30</c:f>
              <c:numCache>
                <c:formatCode>General</c:formatCode>
                <c:ptCount val="3"/>
                <c:pt idx="0">
                  <c:v>0</c:v>
                </c:pt>
                <c:pt idx="1">
                  <c:v>5.3592399999999998</c:v>
                </c:pt>
                <c:pt idx="2">
                  <c:v>8.8447600000000008</c:v>
                </c:pt>
              </c:numCache>
            </c:numRef>
          </c:xVal>
          <c:yVal>
            <c:numRef>
              <c:f>'interaction plot (with non-sig)'!$B$28:$B$30</c:f>
              <c:numCache>
                <c:formatCode>General</c:formatCode>
                <c:ptCount val="3"/>
                <c:pt idx="0">
                  <c:v>-0.74690216399999976</c:v>
                </c:pt>
                <c:pt idx="1">
                  <c:v>-0.13594880399999976</c:v>
                </c:pt>
                <c:pt idx="2">
                  <c:v>0.26140047600000038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1B4-BB4A-96D7-332F8595F9D0}"/>
            </c:ext>
          </c:extLst>
        </c:ser>
        <c:ser>
          <c:idx val="1"/>
          <c:order val="1"/>
          <c:tx>
            <c:strRef>
              <c:f>'interaction plot (with non-sig)'!$C$25</c:f>
              <c:strCache>
                <c:ptCount val="1"/>
                <c:pt idx="0">
                  <c:v>No AI Answer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5-71B4-BB4A-96D7-332F8595F9D0}"/>
              </c:ext>
            </c:extLst>
          </c:dPt>
          <c:xVal>
            <c:numRef>
              <c:f>'interaction plot (with non-sig)'!$A$26:$A$27</c:f>
              <c:numCache>
                <c:formatCode>General</c:formatCode>
                <c:ptCount val="2"/>
                <c:pt idx="0">
                  <c:v>8.8000000000000007</c:v>
                </c:pt>
                <c:pt idx="1">
                  <c:v>0</c:v>
                </c:pt>
              </c:numCache>
            </c:numRef>
          </c:xVal>
          <c:yVal>
            <c:numRef>
              <c:f>'interaction plot (with non-sig)'!$C$26:$C$27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1B4-BB4A-96D7-332F8595F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614864"/>
        <c:axId val="1273614384"/>
      </c:scatterChart>
      <c:valAx>
        <c:axId val="1273614384"/>
        <c:scaling>
          <c:orientation val="minMax"/>
          <c:max val="1"/>
          <c:min val="-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First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Human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Answer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Quality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864"/>
        <c:crosses val="autoZero"/>
        <c:crossBetween val="midCat"/>
        <c:majorUnit val="0.5"/>
        <c:minorUnit val="0.2"/>
      </c:valAx>
      <c:valAx>
        <c:axId val="1273614864"/>
        <c:scaling>
          <c:orientation val="minMax"/>
          <c:max val="9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AI</a:t>
                </a:r>
                <a:r>
                  <a:rPr lang="zh-CN"/>
                  <a:t> </a:t>
                </a:r>
                <a:r>
                  <a:rPr lang="en-US"/>
                  <a:t>answer</a:t>
                </a:r>
                <a:r>
                  <a:rPr lang="zh-CN"/>
                  <a:t> </a:t>
                </a:r>
                <a:r>
                  <a:rPr lang="en-US"/>
                  <a:t>Quality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384"/>
        <c:crossesAt val="-0.30000000000000004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665691629924933"/>
          <c:y val="0.13483944375644411"/>
          <c:w val="0.35334525013277662"/>
          <c:h val="0.165785536577704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58898783623088"/>
          <c:y val="5.6745720814710666E-2"/>
          <c:w val="0.75834536036245515"/>
          <c:h val="0.75926640516999511"/>
        </c:manualLayout>
      </c:layout>
      <c:scatterChart>
        <c:scatterStyle val="lineMarker"/>
        <c:varyColors val="0"/>
        <c:ser>
          <c:idx val="0"/>
          <c:order val="0"/>
          <c:tx>
            <c:strRef>
              <c:f>'interaction plot (original)'!$B$17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flat" cmpd="sng" algn="ctr">
              <a:solidFill>
                <a:schemeClr val="accent4"/>
              </a:solidFill>
              <a:prstDash val="solid"/>
              <a:miter lim="800000"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flat" cmpd="sng" algn="ctr">
                <a:solidFill>
                  <a:schemeClr val="accent4"/>
                </a:solidFill>
                <a:prstDash val="dash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1-9F70-9045-9F3D-6906782C9160}"/>
              </c:ext>
            </c:extLst>
          </c:dPt>
          <c:xVal>
            <c:numRef>
              <c:f>'interaction plot (original)'!$A$18:$A$22</c:f>
              <c:numCache>
                <c:formatCode>General</c:formatCode>
                <c:ptCount val="5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6.23</c:v>
                </c:pt>
                <c:pt idx="4">
                  <c:v>0</c:v>
                </c:pt>
              </c:numCache>
            </c:numRef>
          </c:xVal>
          <c:yVal>
            <c:numRef>
              <c:f>'interaction plot (original)'!$B$18:$B$22</c:f>
              <c:numCache>
                <c:formatCode>General</c:formatCode>
                <c:ptCount val="5"/>
                <c:pt idx="0">
                  <c:v>-9.8653300999999971E-2</c:v>
                </c:pt>
                <c:pt idx="1">
                  <c:v>-4.7537870999999982E-2</c:v>
                </c:pt>
                <c:pt idx="2">
                  <c:v>0.188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F70-9045-9F3D-6906782C9160}"/>
            </c:ext>
          </c:extLst>
        </c:ser>
        <c:ser>
          <c:idx val="1"/>
          <c:order val="1"/>
          <c:tx>
            <c:strRef>
              <c:f>'interaction plot (original)'!$C$17</c:f>
              <c:strCache>
                <c:ptCount val="1"/>
                <c:pt idx="0">
                  <c:v>No AI Answer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9F70-9045-9F3D-6906782C9160}"/>
              </c:ext>
            </c:extLst>
          </c:dPt>
          <c:xVal>
            <c:numRef>
              <c:f>'interaction plot (original)'!$A$21:$A$22</c:f>
              <c:numCache>
                <c:formatCode>General</c:formatCode>
                <c:ptCount val="2"/>
                <c:pt idx="0">
                  <c:v>6.23</c:v>
                </c:pt>
                <c:pt idx="1">
                  <c:v>0</c:v>
                </c:pt>
              </c:numCache>
            </c:numRef>
          </c:xVal>
          <c:yVal>
            <c:numRef>
              <c:f>'interaction plot (original)'!$C$21:$C$22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F70-9045-9F3D-6906782C9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614864"/>
        <c:axId val="1273614384"/>
      </c:scatterChart>
      <c:valAx>
        <c:axId val="1273614384"/>
        <c:scaling>
          <c:orientation val="minMax"/>
          <c:max val="0.4"/>
          <c:min val="-0.1500000000000000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Effect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altLang="zh-CN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on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#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Human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Answer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within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7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altLang="zh-CN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D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864"/>
        <c:crosses val="autoZero"/>
        <c:crossBetween val="midCat"/>
        <c:majorUnit val="0.2"/>
      </c:valAx>
      <c:valAx>
        <c:axId val="1273614864"/>
        <c:scaling>
          <c:orientation val="minMax"/>
          <c:max val="7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AI</a:t>
                </a:r>
                <a:r>
                  <a:rPr lang="zh-CN"/>
                  <a:t> </a:t>
                </a:r>
                <a:r>
                  <a:rPr lang="en-US"/>
                  <a:t>answer</a:t>
                </a:r>
                <a:r>
                  <a:rPr lang="zh-CN"/>
                  <a:t> </a:t>
                </a:r>
                <a:r>
                  <a:rPr lang="en-US"/>
                  <a:t>Length</a:t>
                </a:r>
                <a:r>
                  <a:rPr lang="en-US" sz="1050"/>
                  <a:t>i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7847856559201215"/>
              <c:y val="0.908390981544387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384"/>
        <c:crossesAt val="-0.30000000000000004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825909791468757"/>
          <c:y val="0.10924970324905096"/>
          <c:w val="0.3334735333390908"/>
          <c:h val="0.177733906834148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4314126121669974"/>
          <c:y val="4.3874636000693454E-2"/>
          <c:w val="0.70695451887063554"/>
          <c:h val="0.77262652213356342"/>
        </c:manualLayout>
      </c:layout>
      <c:scatterChart>
        <c:scatterStyle val="lineMarker"/>
        <c:varyColors val="0"/>
        <c:ser>
          <c:idx val="0"/>
          <c:order val="0"/>
          <c:tx>
            <c:strRef>
              <c:f>'interaction plot (original)'!$B$25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rnd">
              <a:solidFill>
                <a:srgbClr val="0F9FD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F9FD5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0F9FD5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solidFill>
                  <a:srgbClr val="0F9FD5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625-2E41-8391-361F7D2B8827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0F9FD5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solidFill>
                  <a:srgbClr val="0F9FD5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7625-2E41-8391-361F7D2B8827}"/>
              </c:ext>
            </c:extLst>
          </c:dPt>
          <c:xVal>
            <c:numRef>
              <c:f>'interaction plot (original)'!$A$28:$A$30</c:f>
              <c:numCache>
                <c:formatCode>General</c:formatCode>
                <c:ptCount val="3"/>
                <c:pt idx="0">
                  <c:v>0</c:v>
                </c:pt>
                <c:pt idx="1">
                  <c:v>5.3592399999999998</c:v>
                </c:pt>
                <c:pt idx="2">
                  <c:v>8.8447600000000008</c:v>
                </c:pt>
              </c:numCache>
            </c:numRef>
          </c:xVal>
          <c:yVal>
            <c:numRef>
              <c:f>'interaction plot (original)'!$B$28:$B$30</c:f>
              <c:numCache>
                <c:formatCode>General</c:formatCode>
                <c:ptCount val="3"/>
                <c:pt idx="0">
                  <c:v>0</c:v>
                </c:pt>
                <c:pt idx="1">
                  <c:v>0.48769083999999996</c:v>
                </c:pt>
                <c:pt idx="2">
                  <c:v>0.80487316000000009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625-2E41-8391-361F7D2B8827}"/>
            </c:ext>
          </c:extLst>
        </c:ser>
        <c:ser>
          <c:idx val="1"/>
          <c:order val="1"/>
          <c:tx>
            <c:strRef>
              <c:f>'interaction plot (original)'!$C$25</c:f>
              <c:strCache>
                <c:ptCount val="1"/>
                <c:pt idx="0">
                  <c:v>No AI Answer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5-7625-2E41-8391-361F7D2B8827}"/>
              </c:ext>
            </c:extLst>
          </c:dPt>
          <c:xVal>
            <c:numRef>
              <c:f>'interaction plot (original)'!$A$26:$A$27</c:f>
              <c:numCache>
                <c:formatCode>General</c:formatCode>
                <c:ptCount val="2"/>
                <c:pt idx="0">
                  <c:v>8.8000000000000007</c:v>
                </c:pt>
                <c:pt idx="1">
                  <c:v>0</c:v>
                </c:pt>
              </c:numCache>
            </c:numRef>
          </c:xVal>
          <c:yVal>
            <c:numRef>
              <c:f>'interaction plot (original)'!$C$26:$C$27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625-2E41-8391-361F7D2B8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614864"/>
        <c:axId val="1273614384"/>
      </c:scatterChart>
      <c:valAx>
        <c:axId val="1273614384"/>
        <c:scaling>
          <c:orientation val="minMax"/>
          <c:min val="-0.1500000000000000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Effect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altLang="zh-CN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on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First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Human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Answer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Quality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864"/>
        <c:crosses val="autoZero"/>
        <c:crossBetween val="midCat"/>
        <c:majorUnit val="0.30000000000000004"/>
      </c:valAx>
      <c:valAx>
        <c:axId val="1273614864"/>
        <c:scaling>
          <c:orientation val="minMax"/>
          <c:max val="9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AI</a:t>
                </a:r>
                <a:r>
                  <a:rPr lang="zh-CN"/>
                  <a:t> </a:t>
                </a:r>
                <a:r>
                  <a:rPr lang="en-US"/>
                  <a:t>answer</a:t>
                </a:r>
                <a:r>
                  <a:rPr lang="zh-CN"/>
                  <a:t> </a:t>
                </a:r>
                <a:r>
                  <a:rPr lang="en-US"/>
                  <a:t>Quality</a:t>
                </a:r>
                <a:r>
                  <a:rPr lang="en-US" altLang="zh-CN" sz="1100"/>
                  <a:t>i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384"/>
        <c:crossesAt val="-0.30000000000000004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665691629924933"/>
          <c:y val="0.48528980173726821"/>
          <c:w val="0.35334525013277662"/>
          <c:h val="0.165785536577704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chart" Target="../charts/chart1.xml"/><Relationship Id="rId4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50</xdr:row>
      <xdr:rowOff>0</xdr:rowOff>
    </xdr:from>
    <xdr:to>
      <xdr:col>2</xdr:col>
      <xdr:colOff>88900</xdr:colOff>
      <xdr:row>50</xdr:row>
      <xdr:rowOff>177800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7DF0E6-E7DB-754C-B8C6-B6858930A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49500" y="26987500"/>
          <a:ext cx="889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49</xdr:row>
      <xdr:rowOff>0</xdr:rowOff>
    </xdr:from>
    <xdr:to>
      <xdr:col>3</xdr:col>
      <xdr:colOff>152400</xdr:colOff>
      <xdr:row>49</xdr:row>
      <xdr:rowOff>165100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AC0608-8C2E-BE45-8242-096A10807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84600" y="26708100"/>
          <a:ext cx="1524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49</xdr:row>
      <xdr:rowOff>0</xdr:rowOff>
    </xdr:from>
    <xdr:to>
      <xdr:col>4</xdr:col>
      <xdr:colOff>279400</xdr:colOff>
      <xdr:row>49</xdr:row>
      <xdr:rowOff>165100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7D6A271-74C1-3C43-A2D5-0A4351315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19700" y="26708100"/>
          <a:ext cx="2794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50</xdr:row>
      <xdr:rowOff>0</xdr:rowOff>
    </xdr:from>
    <xdr:to>
      <xdr:col>5</xdr:col>
      <xdr:colOff>139700</xdr:colOff>
      <xdr:row>50</xdr:row>
      <xdr:rowOff>165100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1A5BFF7-004E-0B44-8D9C-F8413829D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96100" y="26987500"/>
          <a:ext cx="1397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49</xdr:row>
      <xdr:rowOff>0</xdr:rowOff>
    </xdr:from>
    <xdr:to>
      <xdr:col>6</xdr:col>
      <xdr:colOff>76200</xdr:colOff>
      <xdr:row>49</xdr:row>
      <xdr:rowOff>165100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3848628-EFAB-9B44-892E-30E1DBEAD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24900" y="26708100"/>
          <a:ext cx="762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50</xdr:row>
      <xdr:rowOff>0</xdr:rowOff>
    </xdr:from>
    <xdr:to>
      <xdr:col>6</xdr:col>
      <xdr:colOff>279400</xdr:colOff>
      <xdr:row>50</xdr:row>
      <xdr:rowOff>165100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9A86615-4917-4548-95C2-872619873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24900" y="26987500"/>
          <a:ext cx="2794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13</xdr:row>
      <xdr:rowOff>50800</xdr:rowOff>
    </xdr:from>
    <xdr:to>
      <xdr:col>9</xdr:col>
      <xdr:colOff>435428</xdr:colOff>
      <xdr:row>32</xdr:row>
      <xdr:rowOff>7257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C9B245-1AFB-8B49-8CD1-6939671689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449867</xdr:colOff>
      <xdr:row>28</xdr:row>
      <xdr:rowOff>143783</xdr:rowOff>
    </xdr:from>
    <xdr:to>
      <xdr:col>37</xdr:col>
      <xdr:colOff>193542</xdr:colOff>
      <xdr:row>49</xdr:row>
      <xdr:rowOff>163287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4DE30AE-83C5-3640-BD7C-3F3FD1365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33067" y="5833383"/>
          <a:ext cx="12532575" cy="4286704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304800</xdr:colOff>
      <xdr:row>51</xdr:row>
      <xdr:rowOff>101600</xdr:rowOff>
    </xdr:to>
    <xdr:sp macro="" textlink="">
      <xdr:nvSpPr>
        <xdr:cNvPr id="6" name="AutoShape 1" descr="Image preview">
          <a:extLst>
            <a:ext uri="{FF2B5EF4-FFF2-40B4-BE49-F238E27FC236}">
              <a16:creationId xmlns:a16="http://schemas.microsoft.com/office/drawing/2014/main" id="{903200FD-B9B1-9140-8B88-72A9D73A7203}"/>
            </a:ext>
          </a:extLst>
        </xdr:cNvPr>
        <xdr:cNvSpPr>
          <a:spLocks noChangeAspect="1" noChangeArrowheads="1"/>
        </xdr:cNvSpPr>
      </xdr:nvSpPr>
      <xdr:spPr bwMode="auto">
        <a:xfrm>
          <a:off x="3505200" y="101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304800</xdr:colOff>
      <xdr:row>51</xdr:row>
      <xdr:rowOff>101600</xdr:rowOff>
    </xdr:to>
    <xdr:sp macro="" textlink="">
      <xdr:nvSpPr>
        <xdr:cNvPr id="7" name="AutoShape 2" descr="Image preview">
          <a:extLst>
            <a:ext uri="{FF2B5EF4-FFF2-40B4-BE49-F238E27FC236}">
              <a16:creationId xmlns:a16="http://schemas.microsoft.com/office/drawing/2014/main" id="{6D51FE53-67B0-3745-BDA0-943E4C4760DD}"/>
            </a:ext>
          </a:extLst>
        </xdr:cNvPr>
        <xdr:cNvSpPr>
          <a:spLocks noChangeAspect="1" noChangeArrowheads="1"/>
        </xdr:cNvSpPr>
      </xdr:nvSpPr>
      <xdr:spPr bwMode="auto">
        <a:xfrm>
          <a:off x="3505200" y="101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203201</xdr:colOff>
      <xdr:row>4</xdr:row>
      <xdr:rowOff>88900</xdr:rowOff>
    </xdr:from>
    <xdr:to>
      <xdr:col>34</xdr:col>
      <xdr:colOff>92531</xdr:colOff>
      <xdr:row>18</xdr:row>
      <xdr:rowOff>190500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A07AFF1-17A0-C448-A410-150E7B340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32601" y="901700"/>
          <a:ext cx="9312730" cy="294640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13</xdr:row>
      <xdr:rowOff>50800</xdr:rowOff>
    </xdr:from>
    <xdr:to>
      <xdr:col>17</xdr:col>
      <xdr:colOff>544286</xdr:colOff>
      <xdr:row>32</xdr:row>
      <xdr:rowOff>7257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C97FDA4-D9AC-FA45-92ED-0F3F91C297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1190625</xdr:colOff>
      <xdr:row>13</xdr:row>
      <xdr:rowOff>50799</xdr:rowOff>
    </xdr:from>
    <xdr:to>
      <xdr:col>9</xdr:col>
      <xdr:colOff>435428</xdr:colOff>
      <xdr:row>36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411E35-A889-9B42-B0BB-DA9DCA4035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449867</xdr:colOff>
      <xdr:row>28</xdr:row>
      <xdr:rowOff>143783</xdr:rowOff>
    </xdr:from>
    <xdr:to>
      <xdr:col>37</xdr:col>
      <xdr:colOff>193542</xdr:colOff>
      <xdr:row>49</xdr:row>
      <xdr:rowOff>163287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1D2D19C-4ECE-BA42-9C45-EF2F3F782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33067" y="5833383"/>
          <a:ext cx="12532575" cy="4286704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304800</xdr:colOff>
      <xdr:row>51</xdr:row>
      <xdr:rowOff>101600</xdr:rowOff>
    </xdr:to>
    <xdr:sp macro="" textlink="">
      <xdr:nvSpPr>
        <xdr:cNvPr id="6" name="AutoShape 1" descr="Image preview">
          <a:extLst>
            <a:ext uri="{FF2B5EF4-FFF2-40B4-BE49-F238E27FC236}">
              <a16:creationId xmlns:a16="http://schemas.microsoft.com/office/drawing/2014/main" id="{4FDCD4D8-26AA-BC40-AAF1-FB5DF39363C4}"/>
            </a:ext>
          </a:extLst>
        </xdr:cNvPr>
        <xdr:cNvSpPr>
          <a:spLocks noChangeAspect="1" noChangeArrowheads="1"/>
        </xdr:cNvSpPr>
      </xdr:nvSpPr>
      <xdr:spPr bwMode="auto">
        <a:xfrm>
          <a:off x="3505200" y="101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304800</xdr:colOff>
      <xdr:row>51</xdr:row>
      <xdr:rowOff>101600</xdr:rowOff>
    </xdr:to>
    <xdr:sp macro="" textlink="">
      <xdr:nvSpPr>
        <xdr:cNvPr id="7" name="AutoShape 2" descr="Image preview">
          <a:extLst>
            <a:ext uri="{FF2B5EF4-FFF2-40B4-BE49-F238E27FC236}">
              <a16:creationId xmlns:a16="http://schemas.microsoft.com/office/drawing/2014/main" id="{7DC34599-B674-4E4F-A416-D71F1FCE47D3}"/>
            </a:ext>
          </a:extLst>
        </xdr:cNvPr>
        <xdr:cNvSpPr>
          <a:spLocks noChangeAspect="1" noChangeArrowheads="1"/>
        </xdr:cNvSpPr>
      </xdr:nvSpPr>
      <xdr:spPr bwMode="auto">
        <a:xfrm>
          <a:off x="3505200" y="101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203201</xdr:colOff>
      <xdr:row>4</xdr:row>
      <xdr:rowOff>88900</xdr:rowOff>
    </xdr:from>
    <xdr:to>
      <xdr:col>34</xdr:col>
      <xdr:colOff>92531</xdr:colOff>
      <xdr:row>18</xdr:row>
      <xdr:rowOff>190500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438DD81-E675-3D41-9298-7B8137837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32601" y="901700"/>
          <a:ext cx="9312730" cy="2946400"/>
        </a:xfrm>
        <a:prstGeom prst="rect">
          <a:avLst/>
        </a:prstGeom>
      </xdr:spPr>
    </xdr:pic>
    <xdr:clientData/>
  </xdr:twoCellAnchor>
  <xdr:twoCellAnchor>
    <xdr:from>
      <xdr:col>9</xdr:col>
      <xdr:colOff>476250</xdr:colOff>
      <xdr:row>13</xdr:row>
      <xdr:rowOff>50799</xdr:rowOff>
    </xdr:from>
    <xdr:to>
      <xdr:col>17</xdr:col>
      <xdr:colOff>544286</xdr:colOff>
      <xdr:row>36</xdr:row>
      <xdr:rowOff>126999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5E12A9F-BA61-9E4F-94EE-EF2B712080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9651E-6EE7-8748-A8C6-9E7CD21014C7}">
  <dimension ref="B2:N14"/>
  <sheetViews>
    <sheetView zoomScale="120" zoomScaleNormal="120" workbookViewId="0">
      <selection activeCell="B14" sqref="B3:F14"/>
    </sheetView>
  </sheetViews>
  <sheetFormatPr baseColWidth="10" defaultRowHeight="16" x14ac:dyDescent="0.2"/>
  <cols>
    <col min="1" max="1" width="10.83203125" style="1"/>
    <col min="2" max="2" width="16.6640625" style="1" customWidth="1"/>
    <col min="3" max="7" width="10.83203125" style="1"/>
    <col min="8" max="8" width="16.1640625" style="1" bestFit="1" customWidth="1"/>
    <col min="9" max="9" width="12" style="1" customWidth="1"/>
    <col min="10" max="10" width="12.5" style="1" customWidth="1"/>
    <col min="11" max="16384" width="10.83203125" style="1"/>
  </cols>
  <sheetData>
    <row r="2" spans="2:14" x14ac:dyDescent="0.2">
      <c r="B2" s="21" t="s">
        <v>55</v>
      </c>
      <c r="C2"/>
      <c r="D2"/>
      <c r="E2"/>
      <c r="F2"/>
    </row>
    <row r="3" spans="2:14" x14ac:dyDescent="0.2">
      <c r="B3" s="7"/>
      <c r="C3" s="8" t="s">
        <v>27</v>
      </c>
      <c r="D3" s="8" t="s">
        <v>28</v>
      </c>
      <c r="E3" s="8" t="s">
        <v>29</v>
      </c>
      <c r="F3" s="8" t="s">
        <v>30</v>
      </c>
      <c r="H3" s="7"/>
      <c r="I3" s="8" t="s">
        <v>27</v>
      </c>
      <c r="J3" s="8" t="s">
        <v>28</v>
      </c>
      <c r="K3" s="8" t="s">
        <v>29</v>
      </c>
      <c r="L3" s="8" t="s">
        <v>30</v>
      </c>
      <c r="M3" s="8" t="s">
        <v>53</v>
      </c>
      <c r="N3" s="8" t="s">
        <v>59</v>
      </c>
    </row>
    <row r="4" spans="2:14" x14ac:dyDescent="0.2">
      <c r="B4" s="11" t="s">
        <v>39</v>
      </c>
      <c r="C4" s="86" t="s">
        <v>40</v>
      </c>
      <c r="D4" s="86"/>
      <c r="E4" s="86" t="s">
        <v>449</v>
      </c>
      <c r="F4" s="86"/>
      <c r="H4" s="11" t="s">
        <v>39</v>
      </c>
      <c r="I4" s="86" t="s">
        <v>280</v>
      </c>
      <c r="J4" s="86"/>
      <c r="K4" s="86" t="s">
        <v>281</v>
      </c>
      <c r="L4" s="86"/>
      <c r="M4" s="86" t="s">
        <v>449</v>
      </c>
      <c r="N4" s="86"/>
    </row>
    <row r="5" spans="2:14" x14ac:dyDescent="0.2">
      <c r="B5" s="87" t="s">
        <v>21</v>
      </c>
      <c r="C5" s="13" t="s">
        <v>368</v>
      </c>
      <c r="D5" s="13" t="s">
        <v>369</v>
      </c>
      <c r="E5" s="13" t="s">
        <v>490</v>
      </c>
      <c r="F5" s="13" t="s">
        <v>408</v>
      </c>
      <c r="H5" s="87" t="s">
        <v>21</v>
      </c>
      <c r="I5" s="13" t="s">
        <v>282</v>
      </c>
      <c r="J5" s="13" t="s">
        <v>283</v>
      </c>
      <c r="K5" s="13" t="s">
        <v>284</v>
      </c>
      <c r="L5" s="13" t="s">
        <v>285</v>
      </c>
      <c r="M5" s="13" t="s">
        <v>6</v>
      </c>
      <c r="N5" s="13" t="s">
        <v>38</v>
      </c>
    </row>
    <row r="6" spans="2:14" x14ac:dyDescent="0.2">
      <c r="B6" s="87"/>
      <c r="C6" s="13" t="s">
        <v>0</v>
      </c>
      <c r="D6" s="13" t="s">
        <v>93</v>
      </c>
      <c r="E6" s="13" t="s">
        <v>1</v>
      </c>
      <c r="F6" s="13" t="s">
        <v>484</v>
      </c>
      <c r="H6" s="87"/>
      <c r="I6" s="13" t="s">
        <v>17</v>
      </c>
      <c r="J6" s="13" t="s">
        <v>15</v>
      </c>
      <c r="K6" s="13" t="s">
        <v>2</v>
      </c>
      <c r="L6" s="13" t="s">
        <v>286</v>
      </c>
      <c r="M6" s="13" t="s">
        <v>34</v>
      </c>
      <c r="N6" s="13" t="s">
        <v>10</v>
      </c>
    </row>
    <row r="7" spans="2:14" ht="16" customHeight="1" x14ac:dyDescent="0.2">
      <c r="B7" s="87" t="s">
        <v>444</v>
      </c>
      <c r="C7" s="13" t="s">
        <v>372</v>
      </c>
      <c r="D7" s="13" t="s">
        <v>368</v>
      </c>
      <c r="E7" s="13" t="s">
        <v>372</v>
      </c>
      <c r="F7" s="13" t="s">
        <v>485</v>
      </c>
      <c r="H7" s="87" t="s">
        <v>444</v>
      </c>
      <c r="I7" s="13"/>
      <c r="J7" s="13" t="s">
        <v>287</v>
      </c>
      <c r="K7" s="13"/>
      <c r="L7" s="13" t="s">
        <v>288</v>
      </c>
      <c r="M7" s="13"/>
      <c r="N7" s="13" t="s">
        <v>35</v>
      </c>
    </row>
    <row r="8" spans="2:14" x14ac:dyDescent="0.2">
      <c r="B8" s="87"/>
      <c r="C8" s="13" t="s">
        <v>372</v>
      </c>
      <c r="D8" s="13" t="s">
        <v>3</v>
      </c>
      <c r="E8" s="13" t="s">
        <v>372</v>
      </c>
      <c r="F8" s="13" t="s">
        <v>486</v>
      </c>
      <c r="H8" s="87"/>
      <c r="I8" s="13"/>
      <c r="J8" s="13" t="s">
        <v>289</v>
      </c>
      <c r="K8" s="13"/>
      <c r="L8" s="13" t="s">
        <v>290</v>
      </c>
      <c r="M8" s="13"/>
      <c r="N8" s="13" t="s">
        <v>0</v>
      </c>
    </row>
    <row r="9" spans="2:14" ht="16" customHeight="1" x14ac:dyDescent="0.2">
      <c r="B9" s="87" t="s">
        <v>445</v>
      </c>
      <c r="C9" s="13" t="s">
        <v>372</v>
      </c>
      <c r="D9" s="13" t="s">
        <v>374</v>
      </c>
      <c r="E9" s="13" t="s">
        <v>372</v>
      </c>
      <c r="F9" s="13" t="s">
        <v>413</v>
      </c>
      <c r="H9" s="87" t="s">
        <v>445</v>
      </c>
      <c r="I9" s="13"/>
      <c r="J9" s="13" t="s">
        <v>291</v>
      </c>
      <c r="K9" s="13"/>
      <c r="L9" s="13" t="s">
        <v>292</v>
      </c>
      <c r="M9" s="13"/>
      <c r="N9" s="13" t="s">
        <v>36</v>
      </c>
    </row>
    <row r="10" spans="2:14" x14ac:dyDescent="0.2">
      <c r="B10" s="88"/>
      <c r="C10" s="14" t="s">
        <v>372</v>
      </c>
      <c r="D10" s="14" t="s">
        <v>375</v>
      </c>
      <c r="E10" s="14" t="s">
        <v>372</v>
      </c>
      <c r="F10" s="14" t="s">
        <v>487</v>
      </c>
      <c r="H10" s="88"/>
      <c r="I10" s="14"/>
      <c r="J10" s="14" t="s">
        <v>293</v>
      </c>
      <c r="K10" s="14"/>
      <c r="L10" s="14" t="s">
        <v>294</v>
      </c>
      <c r="M10" s="14"/>
      <c r="N10" s="14" t="s">
        <v>12</v>
      </c>
    </row>
    <row r="11" spans="2:14" x14ac:dyDescent="0.2">
      <c r="B11" s="15" t="s">
        <v>22</v>
      </c>
      <c r="C11" s="13" t="s">
        <v>23</v>
      </c>
      <c r="D11" s="13" t="s">
        <v>23</v>
      </c>
      <c r="E11" s="13" t="s">
        <v>23</v>
      </c>
      <c r="F11" s="13" t="s">
        <v>23</v>
      </c>
      <c r="H11" s="15" t="s">
        <v>22</v>
      </c>
      <c r="I11" s="13" t="s">
        <v>23</v>
      </c>
      <c r="J11" s="13" t="s">
        <v>23</v>
      </c>
      <c r="K11" s="13" t="s">
        <v>23</v>
      </c>
      <c r="L11" s="13" t="s">
        <v>23</v>
      </c>
      <c r="M11" s="13" t="s">
        <v>23</v>
      </c>
      <c r="N11" s="13" t="s">
        <v>23</v>
      </c>
    </row>
    <row r="12" spans="2:14" x14ac:dyDescent="0.2">
      <c r="B12" s="15" t="s">
        <v>24</v>
      </c>
      <c r="C12" s="13" t="s">
        <v>23</v>
      </c>
      <c r="D12" s="13" t="s">
        <v>23</v>
      </c>
      <c r="E12" s="13" t="s">
        <v>23</v>
      </c>
      <c r="F12" s="13" t="s">
        <v>23</v>
      </c>
      <c r="H12" s="15" t="s">
        <v>24</v>
      </c>
      <c r="I12" s="13" t="s">
        <v>23</v>
      </c>
      <c r="J12" s="13" t="s">
        <v>23</v>
      </c>
      <c r="K12" s="13" t="s">
        <v>23</v>
      </c>
      <c r="L12" s="13" t="s">
        <v>23</v>
      </c>
      <c r="M12" s="13" t="s">
        <v>23</v>
      </c>
      <c r="N12" s="13" t="s">
        <v>23</v>
      </c>
    </row>
    <row r="13" spans="2:14" x14ac:dyDescent="0.2">
      <c r="B13" s="15" t="s">
        <v>25</v>
      </c>
      <c r="C13" s="13" t="s">
        <v>23</v>
      </c>
      <c r="D13" s="13" t="s">
        <v>23</v>
      </c>
      <c r="E13" s="13" t="s">
        <v>23</v>
      </c>
      <c r="F13" s="13" t="s">
        <v>23</v>
      </c>
      <c r="H13" s="15" t="s">
        <v>25</v>
      </c>
      <c r="I13" s="13" t="s">
        <v>23</v>
      </c>
      <c r="J13" s="13" t="s">
        <v>23</v>
      </c>
      <c r="K13" s="13" t="s">
        <v>23</v>
      </c>
      <c r="L13" s="13" t="s">
        <v>23</v>
      </c>
      <c r="M13" s="13" t="s">
        <v>23</v>
      </c>
      <c r="N13" s="13" t="s">
        <v>23</v>
      </c>
    </row>
    <row r="14" spans="2:14" x14ac:dyDescent="0.2">
      <c r="B14" s="16" t="s">
        <v>26</v>
      </c>
      <c r="C14" s="14" t="s">
        <v>31</v>
      </c>
      <c r="D14" s="14" t="s">
        <v>366</v>
      </c>
      <c r="E14" s="14" t="s">
        <v>489</v>
      </c>
      <c r="F14" s="14" t="s">
        <v>367</v>
      </c>
      <c r="H14" s="16" t="s">
        <v>26</v>
      </c>
      <c r="I14" s="14" t="s">
        <v>31</v>
      </c>
      <c r="J14" s="14" t="s">
        <v>33</v>
      </c>
      <c r="K14" s="14" t="s">
        <v>31</v>
      </c>
      <c r="L14" s="14" t="s">
        <v>33</v>
      </c>
      <c r="M14" s="14" t="s">
        <v>37</v>
      </c>
      <c r="N14" s="14" t="s">
        <v>37</v>
      </c>
    </row>
  </sheetData>
  <mergeCells count="11">
    <mergeCell ref="C4:D4"/>
    <mergeCell ref="E4:F4"/>
    <mergeCell ref="B5:B6"/>
    <mergeCell ref="B7:B8"/>
    <mergeCell ref="B9:B10"/>
    <mergeCell ref="I4:J4"/>
    <mergeCell ref="M4:N4"/>
    <mergeCell ref="H5:H6"/>
    <mergeCell ref="H7:H8"/>
    <mergeCell ref="H9:H10"/>
    <mergeCell ref="K4:L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9AEC0-54B9-D34E-9D08-68B347ADF48B}">
  <dimension ref="B1:Q214"/>
  <sheetViews>
    <sheetView topLeftCell="F11" zoomScaleNormal="100" workbookViewId="0">
      <selection activeCell="K39" sqref="K39"/>
    </sheetView>
  </sheetViews>
  <sheetFormatPr baseColWidth="10" defaultRowHeight="16" x14ac:dyDescent="0.2"/>
  <cols>
    <col min="3" max="3" width="38" bestFit="1" customWidth="1"/>
    <col min="4" max="4" width="67.6640625" customWidth="1"/>
    <col min="5" max="5" width="107.5" customWidth="1"/>
    <col min="6" max="6" width="18.5" style="3" bestFit="1" customWidth="1"/>
    <col min="7" max="7" width="14.33203125" bestFit="1" customWidth="1"/>
    <col min="8" max="8" width="15.33203125" customWidth="1"/>
    <col min="9" max="9" width="49.83203125" customWidth="1"/>
    <col min="10" max="10" width="32" customWidth="1"/>
    <col min="11" max="12" width="30.5" customWidth="1"/>
    <col min="13" max="13" width="14.6640625" bestFit="1" customWidth="1"/>
    <col min="14" max="14" width="30.5" customWidth="1"/>
    <col min="17" max="17" width="55.33203125" customWidth="1"/>
  </cols>
  <sheetData>
    <row r="1" spans="2:17" x14ac:dyDescent="0.2">
      <c r="C1" s="20" t="s">
        <v>103</v>
      </c>
      <c r="D1" s="20" t="s">
        <v>105</v>
      </c>
      <c r="E1" s="20" t="s">
        <v>104</v>
      </c>
      <c r="Q1" s="6" t="s">
        <v>107</v>
      </c>
    </row>
    <row r="2" spans="2:17" x14ac:dyDescent="0.2">
      <c r="B2" s="1" t="s">
        <v>85</v>
      </c>
      <c r="C2" s="1" t="s">
        <v>126</v>
      </c>
      <c r="D2" t="s">
        <v>106</v>
      </c>
      <c r="E2" s="1" t="s">
        <v>274</v>
      </c>
      <c r="F2" s="7"/>
      <c r="G2" s="8" t="s">
        <v>27</v>
      </c>
      <c r="H2" s="8" t="s">
        <v>28</v>
      </c>
      <c r="I2" s="9"/>
      <c r="J2" s="7"/>
      <c r="K2" s="8" t="s">
        <v>27</v>
      </c>
      <c r="L2" s="13"/>
      <c r="M2" s="7"/>
      <c r="N2" s="8" t="s">
        <v>27</v>
      </c>
      <c r="Q2" s="5" t="s">
        <v>108</v>
      </c>
    </row>
    <row r="3" spans="2:17" x14ac:dyDescent="0.2">
      <c r="E3" t="s">
        <v>127</v>
      </c>
      <c r="F3" s="9"/>
      <c r="G3" s="10" t="s">
        <v>79</v>
      </c>
      <c r="H3" s="10" t="s">
        <v>80</v>
      </c>
      <c r="I3" s="9"/>
      <c r="J3" s="11" t="s">
        <v>39</v>
      </c>
      <c r="K3" s="12" t="s">
        <v>278</v>
      </c>
      <c r="L3" s="38"/>
      <c r="M3" s="11" t="s">
        <v>39</v>
      </c>
      <c r="N3" s="12" t="s">
        <v>278</v>
      </c>
    </row>
    <row r="4" spans="2:17" x14ac:dyDescent="0.2">
      <c r="E4" t="s">
        <v>128</v>
      </c>
      <c r="F4" s="11" t="s">
        <v>39</v>
      </c>
      <c r="G4" s="86" t="s">
        <v>40</v>
      </c>
      <c r="H4" s="86"/>
      <c r="J4" s="87" t="s">
        <v>21</v>
      </c>
      <c r="K4" s="13" t="s">
        <v>279</v>
      </c>
      <c r="L4" s="13"/>
      <c r="M4" s="87" t="s">
        <v>21</v>
      </c>
      <c r="N4" s="13" t="s">
        <v>279</v>
      </c>
    </row>
    <row r="5" spans="2:17" x14ac:dyDescent="0.2">
      <c r="B5" s="1"/>
      <c r="C5" s="1"/>
      <c r="D5" s="1"/>
      <c r="F5" s="87" t="s">
        <v>21</v>
      </c>
      <c r="G5" s="18" t="s">
        <v>379</v>
      </c>
      <c r="H5" s="13" t="s">
        <v>380</v>
      </c>
      <c r="I5" t="s">
        <v>81</v>
      </c>
      <c r="J5" s="87"/>
      <c r="K5" s="13" t="s">
        <v>18</v>
      </c>
      <c r="L5" s="13"/>
      <c r="M5" s="87"/>
      <c r="N5" s="13" t="s">
        <v>18</v>
      </c>
    </row>
    <row r="6" spans="2:17" x14ac:dyDescent="0.2">
      <c r="B6" s="1"/>
      <c r="C6" s="1"/>
      <c r="D6" s="1"/>
      <c r="E6" s="1" t="s">
        <v>275</v>
      </c>
      <c r="F6" s="87"/>
      <c r="G6" s="18" t="s">
        <v>92</v>
      </c>
      <c r="H6" s="13" t="s">
        <v>475</v>
      </c>
      <c r="I6" t="s">
        <v>82</v>
      </c>
      <c r="J6" s="15" t="s">
        <v>22</v>
      </c>
      <c r="K6" s="13" t="s">
        <v>23</v>
      </c>
      <c r="L6" s="13"/>
      <c r="M6" s="15" t="s">
        <v>22</v>
      </c>
      <c r="N6" s="13" t="s">
        <v>23</v>
      </c>
    </row>
    <row r="7" spans="2:17" ht="16" customHeight="1" x14ac:dyDescent="0.2">
      <c r="B7" s="1"/>
      <c r="C7" s="1"/>
      <c r="D7" s="1"/>
      <c r="E7" t="s">
        <v>276</v>
      </c>
      <c r="F7" s="87" t="s">
        <v>444</v>
      </c>
      <c r="G7" s="18" t="s">
        <v>476</v>
      </c>
      <c r="H7" s="13" t="s">
        <v>381</v>
      </c>
      <c r="I7" t="s">
        <v>83</v>
      </c>
      <c r="J7" s="15" t="s">
        <v>24</v>
      </c>
      <c r="K7" s="13" t="s">
        <v>23</v>
      </c>
      <c r="L7" s="13"/>
      <c r="M7" s="15" t="s">
        <v>24</v>
      </c>
      <c r="N7" s="13" t="s">
        <v>23</v>
      </c>
    </row>
    <row r="8" spans="2:17" x14ac:dyDescent="0.2">
      <c r="B8" s="1"/>
      <c r="C8" s="1"/>
      <c r="D8" s="1"/>
      <c r="E8" t="s">
        <v>277</v>
      </c>
      <c r="F8" s="87"/>
      <c r="G8" s="18" t="s">
        <v>4</v>
      </c>
      <c r="H8" s="13" t="s">
        <v>192</v>
      </c>
      <c r="I8" t="s">
        <v>84</v>
      </c>
      <c r="J8" s="15" t="s">
        <v>25</v>
      </c>
      <c r="K8" s="13" t="s">
        <v>23</v>
      </c>
      <c r="L8" s="13"/>
      <c r="M8" s="15" t="s">
        <v>25</v>
      </c>
      <c r="N8" s="13" t="s">
        <v>23</v>
      </c>
    </row>
    <row r="9" spans="2:17" ht="16" customHeight="1" x14ac:dyDescent="0.2">
      <c r="B9" s="1"/>
      <c r="C9" s="1"/>
      <c r="D9" s="1"/>
      <c r="F9" s="87" t="s">
        <v>445</v>
      </c>
      <c r="G9" s="13" t="s">
        <v>13</v>
      </c>
      <c r="H9" s="13" t="s">
        <v>382</v>
      </c>
      <c r="J9" s="16" t="s">
        <v>26</v>
      </c>
      <c r="K9" s="14" t="s">
        <v>31</v>
      </c>
      <c r="L9" s="13"/>
      <c r="M9" s="16" t="s">
        <v>26</v>
      </c>
      <c r="N9" s="14" t="s">
        <v>31</v>
      </c>
    </row>
    <row r="10" spans="2:17" x14ac:dyDescent="0.2">
      <c r="B10" s="1"/>
      <c r="C10" s="1"/>
      <c r="D10" s="1"/>
      <c r="F10" s="88"/>
      <c r="G10" s="14" t="s">
        <v>19</v>
      </c>
      <c r="H10" s="14" t="s">
        <v>383</v>
      </c>
      <c r="J10" s="13"/>
      <c r="L10" s="13"/>
      <c r="N10" s="13"/>
    </row>
    <row r="11" spans="2:17" x14ac:dyDescent="0.2">
      <c r="B11" s="1"/>
      <c r="C11" s="1"/>
      <c r="D11" s="1"/>
      <c r="F11" s="15" t="s">
        <v>22</v>
      </c>
      <c r="G11" s="13" t="s">
        <v>23</v>
      </c>
      <c r="H11" s="13" t="s">
        <v>23</v>
      </c>
      <c r="J11" s="13"/>
      <c r="L11" s="13"/>
      <c r="N11" s="13"/>
    </row>
    <row r="12" spans="2:17" x14ac:dyDescent="0.2">
      <c r="B12" s="1"/>
      <c r="C12" s="1"/>
      <c r="D12" s="1"/>
      <c r="F12" s="15" t="s">
        <v>24</v>
      </c>
      <c r="G12" s="13" t="s">
        <v>23</v>
      </c>
      <c r="H12" s="13" t="s">
        <v>23</v>
      </c>
      <c r="J12" s="13"/>
      <c r="L12" s="13"/>
      <c r="N12" s="13"/>
    </row>
    <row r="13" spans="2:17" x14ac:dyDescent="0.2">
      <c r="B13" s="1"/>
      <c r="C13" s="1"/>
      <c r="D13" s="1"/>
      <c r="F13" s="15" t="s">
        <v>25</v>
      </c>
      <c r="G13" s="13" t="s">
        <v>23</v>
      </c>
      <c r="H13" s="13" t="s">
        <v>23</v>
      </c>
      <c r="L13" s="13"/>
      <c r="N13" s="13"/>
    </row>
    <row r="14" spans="2:17" x14ac:dyDescent="0.2">
      <c r="B14" s="1"/>
      <c r="C14" s="1"/>
      <c r="D14" s="1"/>
      <c r="F14" s="16" t="s">
        <v>26</v>
      </c>
      <c r="G14" s="14" t="s">
        <v>377</v>
      </c>
      <c r="H14" s="14" t="s">
        <v>378</v>
      </c>
      <c r="I14" s="9"/>
      <c r="L14" s="13"/>
      <c r="N14" s="13"/>
    </row>
    <row r="15" spans="2:17" x14ac:dyDescent="0.2">
      <c r="B15" s="1"/>
      <c r="C15" s="1"/>
      <c r="D15" s="1"/>
      <c r="F15" s="15"/>
      <c r="G15" s="13"/>
      <c r="H15" s="13"/>
      <c r="I15" s="9"/>
      <c r="J15" s="13"/>
      <c r="L15" s="13"/>
      <c r="N15" s="13"/>
    </row>
    <row r="16" spans="2:17" x14ac:dyDescent="0.2">
      <c r="B16" s="1" t="s">
        <v>86</v>
      </c>
      <c r="C16" t="s">
        <v>125</v>
      </c>
      <c r="D16" s="1" t="s">
        <v>109</v>
      </c>
      <c r="E16" t="s">
        <v>110</v>
      </c>
      <c r="F16" s="7"/>
      <c r="G16" s="8" t="s">
        <v>27</v>
      </c>
      <c r="H16" s="8" t="s">
        <v>28</v>
      </c>
      <c r="I16" s="8" t="s">
        <v>29</v>
      </c>
      <c r="J16" s="13"/>
      <c r="L16" s="13"/>
      <c r="N16" s="13"/>
      <c r="O16" s="1"/>
      <c r="P16" s="1"/>
    </row>
    <row r="17" spans="2:17" x14ac:dyDescent="0.2">
      <c r="B17" s="1"/>
      <c r="D17" t="s">
        <v>111</v>
      </c>
      <c r="E17" t="s">
        <v>114</v>
      </c>
      <c r="F17" s="11" t="s">
        <v>39</v>
      </c>
      <c r="G17" s="86" t="s">
        <v>40</v>
      </c>
      <c r="H17" s="86"/>
      <c r="I17" s="86"/>
      <c r="J17" s="13"/>
      <c r="L17" s="13"/>
      <c r="N17" s="13"/>
      <c r="O17" s="1"/>
      <c r="P17" s="1"/>
    </row>
    <row r="18" spans="2:17" ht="16" customHeight="1" x14ac:dyDescent="0.2">
      <c r="B18" s="1"/>
      <c r="F18" s="87" t="s">
        <v>21</v>
      </c>
      <c r="G18" s="13" t="s">
        <v>477</v>
      </c>
      <c r="H18" s="13" t="s">
        <v>369</v>
      </c>
      <c r="I18" s="13" t="s">
        <v>115</v>
      </c>
      <c r="O18" s="1"/>
      <c r="P18" s="1"/>
    </row>
    <row r="19" spans="2:17" ht="16" customHeight="1" x14ac:dyDescent="0.2">
      <c r="B19" s="1"/>
      <c r="F19" s="87"/>
      <c r="G19" s="13" t="s">
        <v>14</v>
      </c>
      <c r="H19" s="13" t="s">
        <v>93</v>
      </c>
      <c r="I19" s="13" t="s">
        <v>9</v>
      </c>
      <c r="O19" s="1"/>
      <c r="P19" s="1"/>
    </row>
    <row r="20" spans="2:17" ht="16" customHeight="1" x14ac:dyDescent="0.2">
      <c r="B20" s="1"/>
      <c r="F20" s="87" t="s">
        <v>444</v>
      </c>
      <c r="G20" s="13" t="s">
        <v>384</v>
      </c>
      <c r="H20" s="13" t="s">
        <v>368</v>
      </c>
      <c r="I20" s="13" t="s">
        <v>385</v>
      </c>
      <c r="O20" s="1"/>
      <c r="P20" s="1"/>
    </row>
    <row r="21" spans="2:17" ht="16" customHeight="1" x14ac:dyDescent="0.2">
      <c r="B21" s="1"/>
      <c r="F21" s="87"/>
      <c r="G21" s="13" t="s">
        <v>3</v>
      </c>
      <c r="H21" s="13" t="s">
        <v>3</v>
      </c>
      <c r="I21" s="13" t="s">
        <v>5</v>
      </c>
      <c r="O21" s="1"/>
      <c r="P21" s="1"/>
      <c r="Q21" s="4" t="s">
        <v>97</v>
      </c>
    </row>
    <row r="22" spans="2:17" ht="16" customHeight="1" x14ac:dyDescent="0.2">
      <c r="B22" s="1"/>
      <c r="F22" s="87" t="s">
        <v>445</v>
      </c>
      <c r="G22" t="s">
        <v>372</v>
      </c>
      <c r="H22" s="13" t="s">
        <v>374</v>
      </c>
      <c r="I22" t="s">
        <v>372</v>
      </c>
      <c r="O22" s="1"/>
      <c r="P22" s="1"/>
      <c r="Q22" s="4" t="s">
        <v>98</v>
      </c>
    </row>
    <row r="23" spans="2:17" ht="16" customHeight="1" x14ac:dyDescent="0.2">
      <c r="B23" s="1"/>
      <c r="F23" s="87"/>
      <c r="G23" t="s">
        <v>372</v>
      </c>
      <c r="H23" s="13" t="s">
        <v>375</v>
      </c>
      <c r="I23" t="s">
        <v>372</v>
      </c>
      <c r="O23" s="1"/>
      <c r="P23" s="1"/>
      <c r="Q23" s="4" t="s">
        <v>99</v>
      </c>
    </row>
    <row r="24" spans="2:17" x14ac:dyDescent="0.2">
      <c r="B24" s="1"/>
      <c r="F24" s="87" t="s">
        <v>446</v>
      </c>
      <c r="G24" s="13" t="s">
        <v>372</v>
      </c>
      <c r="H24" s="13" t="s">
        <v>372</v>
      </c>
      <c r="I24" s="18" t="s">
        <v>386</v>
      </c>
      <c r="L24" s="13"/>
      <c r="O24" s="1"/>
      <c r="P24" s="1"/>
      <c r="Q24" s="5"/>
    </row>
    <row r="25" spans="2:17" x14ac:dyDescent="0.2">
      <c r="B25" s="1"/>
      <c r="F25" s="88"/>
      <c r="G25" s="14" t="s">
        <v>372</v>
      </c>
      <c r="H25" s="14" t="s">
        <v>372</v>
      </c>
      <c r="I25" s="19" t="s">
        <v>91</v>
      </c>
      <c r="L25" s="13"/>
      <c r="O25" s="1"/>
      <c r="P25" s="1"/>
      <c r="Q25" s="5" t="s">
        <v>100</v>
      </c>
    </row>
    <row r="26" spans="2:17" x14ac:dyDescent="0.2">
      <c r="B26" s="1"/>
      <c r="C26" s="4"/>
      <c r="D26" s="4"/>
      <c r="F26" s="15" t="s">
        <v>22</v>
      </c>
      <c r="G26" s="13" t="s">
        <v>23</v>
      </c>
      <c r="H26" s="13" t="s">
        <v>23</v>
      </c>
      <c r="I26" s="13" t="s">
        <v>23</v>
      </c>
      <c r="L26" s="13"/>
      <c r="O26" s="1"/>
      <c r="P26" s="1"/>
      <c r="Q26" s="5" t="s">
        <v>101</v>
      </c>
    </row>
    <row r="27" spans="2:17" x14ac:dyDescent="0.2">
      <c r="B27" s="1"/>
      <c r="C27" s="4"/>
      <c r="D27" s="4"/>
      <c r="F27" s="15" t="s">
        <v>24</v>
      </c>
      <c r="G27" s="13" t="s">
        <v>23</v>
      </c>
      <c r="H27" s="13" t="s">
        <v>23</v>
      </c>
      <c r="I27" s="13" t="s">
        <v>23</v>
      </c>
      <c r="O27" s="1"/>
      <c r="P27" s="1"/>
      <c r="Q27" s="5" t="s">
        <v>102</v>
      </c>
    </row>
    <row r="28" spans="2:17" x14ac:dyDescent="0.2">
      <c r="B28" s="1"/>
      <c r="C28" s="1"/>
      <c r="D28" s="1"/>
      <c r="F28" s="15" t="s">
        <v>25</v>
      </c>
      <c r="G28" s="13" t="s">
        <v>23</v>
      </c>
      <c r="H28" s="13" t="s">
        <v>23</v>
      </c>
      <c r="I28" s="13" t="s">
        <v>23</v>
      </c>
      <c r="O28" s="1"/>
      <c r="P28" s="1"/>
    </row>
    <row r="29" spans="2:17" x14ac:dyDescent="0.2">
      <c r="B29" s="1"/>
      <c r="C29" s="1"/>
      <c r="D29" s="1"/>
      <c r="F29" s="16" t="s">
        <v>26</v>
      </c>
      <c r="G29" s="14" t="s">
        <v>31</v>
      </c>
      <c r="H29" s="14" t="s">
        <v>366</v>
      </c>
      <c r="I29" s="14" t="s">
        <v>31</v>
      </c>
      <c r="O29" s="1"/>
      <c r="P29" s="1"/>
    </row>
    <row r="30" spans="2:17" x14ac:dyDescent="0.2">
      <c r="B30" s="1"/>
      <c r="C30" s="1"/>
      <c r="D30" s="1"/>
      <c r="O30" s="1"/>
      <c r="P30" s="1"/>
    </row>
    <row r="31" spans="2:17" x14ac:dyDescent="0.2">
      <c r="B31" s="1"/>
      <c r="C31" s="1"/>
      <c r="D31" s="1"/>
    </row>
    <row r="32" spans="2:17" x14ac:dyDescent="0.2">
      <c r="B32" s="1" t="s">
        <v>87</v>
      </c>
      <c r="C32" t="s">
        <v>123</v>
      </c>
      <c r="D32" s="1" t="s">
        <v>120</v>
      </c>
      <c r="E32" s="1" t="s">
        <v>130</v>
      </c>
      <c r="H32" s="1"/>
    </row>
    <row r="33" spans="2:11" x14ac:dyDescent="0.2">
      <c r="B33" s="1"/>
      <c r="D33" s="1" t="s">
        <v>121</v>
      </c>
      <c r="E33" s="1"/>
      <c r="H33" s="1"/>
    </row>
    <row r="34" spans="2:11" x14ac:dyDescent="0.2">
      <c r="B34" s="1"/>
      <c r="D34" s="1" t="s">
        <v>122</v>
      </c>
      <c r="E34" s="1"/>
      <c r="H34" s="1"/>
    </row>
    <row r="35" spans="2:11" x14ac:dyDescent="0.2">
      <c r="B35" s="1"/>
      <c r="D35" s="1"/>
      <c r="E35" s="1"/>
      <c r="H35" s="1"/>
    </row>
    <row r="36" spans="2:11" x14ac:dyDescent="0.2">
      <c r="B36" s="1" t="s">
        <v>88</v>
      </c>
      <c r="C36" s="1" t="s">
        <v>124</v>
      </c>
      <c r="D36" s="1" t="s">
        <v>118</v>
      </c>
      <c r="E36" s="1"/>
      <c r="F36" s="7"/>
      <c r="G36" s="8" t="s">
        <v>27</v>
      </c>
      <c r="H36" s="8" t="s">
        <v>28</v>
      </c>
      <c r="J36" s="7"/>
      <c r="K36" s="8" t="s">
        <v>27</v>
      </c>
    </row>
    <row r="37" spans="2:11" x14ac:dyDescent="0.2">
      <c r="B37" s="1"/>
      <c r="C37" s="1"/>
      <c r="D37" s="1" t="s">
        <v>112</v>
      </c>
      <c r="E37" t="s">
        <v>117</v>
      </c>
      <c r="F37" s="11" t="s">
        <v>39</v>
      </c>
      <c r="G37" s="17" t="s">
        <v>116</v>
      </c>
      <c r="H37" s="12" t="s">
        <v>392</v>
      </c>
      <c r="J37" s="11" t="s">
        <v>39</v>
      </c>
      <c r="K37" s="12" t="s">
        <v>396</v>
      </c>
    </row>
    <row r="38" spans="2:11" ht="16" customHeight="1" x14ac:dyDescent="0.2">
      <c r="B38" s="1"/>
      <c r="C38" s="1"/>
      <c r="D38" s="1" t="s">
        <v>113</v>
      </c>
      <c r="E38" s="1" t="s">
        <v>119</v>
      </c>
      <c r="F38" s="87" t="s">
        <v>21</v>
      </c>
      <c r="G38" s="13" t="s">
        <v>387</v>
      </c>
      <c r="H38" s="13" t="s">
        <v>394</v>
      </c>
      <c r="J38" s="87" t="s">
        <v>448</v>
      </c>
      <c r="K38" s="13" t="s">
        <v>11</v>
      </c>
    </row>
    <row r="39" spans="2:11" ht="16" customHeight="1" x14ac:dyDescent="0.2">
      <c r="B39" s="1"/>
      <c r="C39" s="1"/>
      <c r="D39" s="1" t="s">
        <v>132</v>
      </c>
      <c r="E39" t="s">
        <v>133</v>
      </c>
      <c r="F39" s="87"/>
      <c r="G39" s="13" t="s">
        <v>478</v>
      </c>
      <c r="H39" s="13" t="s">
        <v>479</v>
      </c>
      <c r="J39" s="87"/>
      <c r="K39" s="13" t="s">
        <v>0</v>
      </c>
    </row>
    <row r="40" spans="2:11" ht="16" customHeight="1" x14ac:dyDescent="0.2">
      <c r="B40" s="1"/>
      <c r="C40" s="1"/>
      <c r="D40" s="1"/>
      <c r="F40" s="87" t="s">
        <v>444</v>
      </c>
      <c r="G40" s="13" t="s">
        <v>8</v>
      </c>
      <c r="H40" s="13" t="s">
        <v>480</v>
      </c>
      <c r="J40" s="87" t="s">
        <v>447</v>
      </c>
      <c r="K40" s="18" t="s">
        <v>398</v>
      </c>
    </row>
    <row r="41" spans="2:11" ht="16" customHeight="1" x14ac:dyDescent="0.2">
      <c r="B41" s="1"/>
      <c r="C41" s="1"/>
      <c r="D41" s="1"/>
      <c r="F41" s="87"/>
      <c r="G41" s="13" t="s">
        <v>388</v>
      </c>
      <c r="H41" s="13" t="s">
        <v>481</v>
      </c>
      <c r="J41" s="88"/>
      <c r="K41" s="19" t="s">
        <v>91</v>
      </c>
    </row>
    <row r="42" spans="2:11" ht="16" customHeight="1" x14ac:dyDescent="0.2">
      <c r="F42" s="87" t="s">
        <v>445</v>
      </c>
      <c r="G42" s="13" t="s">
        <v>291</v>
      </c>
      <c r="H42" s="13" t="s">
        <v>391</v>
      </c>
      <c r="J42" s="15" t="s">
        <v>22</v>
      </c>
      <c r="K42" s="13" t="s">
        <v>23</v>
      </c>
    </row>
    <row r="43" spans="2:11" ht="16" customHeight="1" x14ac:dyDescent="0.2">
      <c r="F43" s="88"/>
      <c r="G43" s="14" t="s">
        <v>482</v>
      </c>
      <c r="H43" s="14" t="s">
        <v>483</v>
      </c>
      <c r="J43" s="15" t="s">
        <v>24</v>
      </c>
      <c r="K43" s="13" t="s">
        <v>23</v>
      </c>
    </row>
    <row r="44" spans="2:11" ht="16" customHeight="1" x14ac:dyDescent="0.2">
      <c r="F44" s="15" t="s">
        <v>22</v>
      </c>
      <c r="G44" s="13" t="s">
        <v>23</v>
      </c>
      <c r="H44" s="13" t="s">
        <v>23</v>
      </c>
      <c r="J44" s="15" t="s">
        <v>25</v>
      </c>
      <c r="K44" s="13" t="s">
        <v>23</v>
      </c>
    </row>
    <row r="45" spans="2:11" x14ac:dyDescent="0.2">
      <c r="F45" s="15" t="s">
        <v>24</v>
      </c>
      <c r="G45" s="13" t="s">
        <v>23</v>
      </c>
      <c r="H45" s="13" t="s">
        <v>23</v>
      </c>
      <c r="J45" s="16" t="s">
        <v>26</v>
      </c>
      <c r="K45" s="14" t="s">
        <v>397</v>
      </c>
    </row>
    <row r="46" spans="2:11" x14ac:dyDescent="0.2">
      <c r="F46" s="15" t="s">
        <v>25</v>
      </c>
      <c r="G46" s="13" t="s">
        <v>23</v>
      </c>
      <c r="H46" s="13" t="s">
        <v>23</v>
      </c>
    </row>
    <row r="47" spans="2:11" x14ac:dyDescent="0.2">
      <c r="F47" s="16" t="s">
        <v>26</v>
      </c>
      <c r="G47" s="14" t="s">
        <v>389</v>
      </c>
      <c r="H47" s="14" t="s">
        <v>393</v>
      </c>
    </row>
    <row r="49" spans="6:6" x14ac:dyDescent="0.2">
      <c r="F49" s="2"/>
    </row>
    <row r="50" spans="6:6" x14ac:dyDescent="0.2">
      <c r="F50" s="2"/>
    </row>
    <row r="51" spans="6:6" x14ac:dyDescent="0.2">
      <c r="F51" s="2"/>
    </row>
    <row r="53" spans="6:6" x14ac:dyDescent="0.2">
      <c r="F53" s="2"/>
    </row>
    <row r="54" spans="6:6" x14ac:dyDescent="0.2">
      <c r="F54" s="2"/>
    </row>
    <row r="55" spans="6:6" x14ac:dyDescent="0.2">
      <c r="F55" s="2"/>
    </row>
    <row r="56" spans="6:6" x14ac:dyDescent="0.2">
      <c r="F56" s="2"/>
    </row>
    <row r="57" spans="6:6" x14ac:dyDescent="0.2">
      <c r="F57" s="2"/>
    </row>
    <row r="74" spans="6:6" x14ac:dyDescent="0.2">
      <c r="F74" s="2"/>
    </row>
    <row r="75" spans="6:6" x14ac:dyDescent="0.2">
      <c r="F75" s="2"/>
    </row>
    <row r="76" spans="6:6" x14ac:dyDescent="0.2">
      <c r="F76" s="2"/>
    </row>
    <row r="77" spans="6:6" x14ac:dyDescent="0.2">
      <c r="F77" s="2"/>
    </row>
    <row r="78" spans="6:6" x14ac:dyDescent="0.2">
      <c r="F78" s="2"/>
    </row>
    <row r="79" spans="6:6" x14ac:dyDescent="0.2">
      <c r="F79" s="2"/>
    </row>
    <row r="80" spans="6:6" x14ac:dyDescent="0.2">
      <c r="F80" s="2"/>
    </row>
    <row r="81" spans="6:6" x14ac:dyDescent="0.2">
      <c r="F81" s="2"/>
    </row>
    <row r="82" spans="6:6" x14ac:dyDescent="0.2">
      <c r="F82" s="2"/>
    </row>
    <row r="83" spans="6:6" x14ac:dyDescent="0.2">
      <c r="F83" s="2"/>
    </row>
    <row r="84" spans="6:6" x14ac:dyDescent="0.2">
      <c r="F84" s="2"/>
    </row>
    <row r="85" spans="6:6" x14ac:dyDescent="0.2">
      <c r="F85" s="2"/>
    </row>
    <row r="86" spans="6:6" x14ac:dyDescent="0.2">
      <c r="F86" s="2"/>
    </row>
    <row r="87" spans="6:6" x14ac:dyDescent="0.2">
      <c r="F87" s="2"/>
    </row>
    <row r="88" spans="6:6" x14ac:dyDescent="0.2">
      <c r="F88" s="2"/>
    </row>
    <row r="89" spans="6:6" x14ac:dyDescent="0.2">
      <c r="F89" s="2"/>
    </row>
    <row r="90" spans="6:6" x14ac:dyDescent="0.2">
      <c r="F90" s="2"/>
    </row>
    <row r="91" spans="6:6" x14ac:dyDescent="0.2">
      <c r="F91" s="2"/>
    </row>
    <row r="92" spans="6:6" x14ac:dyDescent="0.2">
      <c r="F92" s="2"/>
    </row>
    <row r="93" spans="6:6" x14ac:dyDescent="0.2">
      <c r="F93" s="2"/>
    </row>
    <row r="94" spans="6:6" x14ac:dyDescent="0.2">
      <c r="F94" s="2"/>
    </row>
    <row r="95" spans="6:6" x14ac:dyDescent="0.2">
      <c r="F95" s="2"/>
    </row>
    <row r="96" spans="6:6" x14ac:dyDescent="0.2">
      <c r="F96" s="2"/>
    </row>
    <row r="97" spans="6:6" x14ac:dyDescent="0.2">
      <c r="F97" s="2"/>
    </row>
    <row r="98" spans="6:6" x14ac:dyDescent="0.2">
      <c r="F98" s="2"/>
    </row>
    <row r="99" spans="6:6" x14ac:dyDescent="0.2">
      <c r="F99" s="2"/>
    </row>
    <row r="100" spans="6:6" x14ac:dyDescent="0.2">
      <c r="F100" s="2"/>
    </row>
    <row r="101" spans="6:6" x14ac:dyDescent="0.2">
      <c r="F101" s="2"/>
    </row>
    <row r="102" spans="6:6" x14ac:dyDescent="0.2">
      <c r="F102" s="2"/>
    </row>
    <row r="103" spans="6:6" x14ac:dyDescent="0.2">
      <c r="F103" s="2"/>
    </row>
    <row r="104" spans="6:6" x14ac:dyDescent="0.2">
      <c r="F104" s="2"/>
    </row>
    <row r="105" spans="6:6" x14ac:dyDescent="0.2">
      <c r="F105" s="2"/>
    </row>
    <row r="106" spans="6:6" x14ac:dyDescent="0.2">
      <c r="F106" s="2"/>
    </row>
    <row r="107" spans="6:6" x14ac:dyDescent="0.2">
      <c r="F107" s="2"/>
    </row>
    <row r="108" spans="6:6" x14ac:dyDescent="0.2">
      <c r="F108" s="2"/>
    </row>
    <row r="109" spans="6:6" x14ac:dyDescent="0.2">
      <c r="F109" s="2"/>
    </row>
    <row r="110" spans="6:6" x14ac:dyDescent="0.2">
      <c r="F110" s="2"/>
    </row>
    <row r="111" spans="6:6" x14ac:dyDescent="0.2">
      <c r="F111" s="2"/>
    </row>
    <row r="112" spans="6:6" x14ac:dyDescent="0.2">
      <c r="F112" s="2"/>
    </row>
    <row r="113" spans="6:6" x14ac:dyDescent="0.2">
      <c r="F113" s="2"/>
    </row>
    <row r="114" spans="6:6" x14ac:dyDescent="0.2">
      <c r="F114" s="2"/>
    </row>
    <row r="115" spans="6:6" x14ac:dyDescent="0.2">
      <c r="F115" s="2"/>
    </row>
    <row r="116" spans="6:6" x14ac:dyDescent="0.2">
      <c r="F116" s="2"/>
    </row>
    <row r="117" spans="6:6" x14ac:dyDescent="0.2">
      <c r="F117" s="2"/>
    </row>
    <row r="118" spans="6:6" x14ac:dyDescent="0.2">
      <c r="F118" s="2"/>
    </row>
    <row r="119" spans="6:6" x14ac:dyDescent="0.2">
      <c r="F119" s="2"/>
    </row>
    <row r="120" spans="6:6" x14ac:dyDescent="0.2">
      <c r="F120" s="2"/>
    </row>
    <row r="121" spans="6:6" x14ac:dyDescent="0.2">
      <c r="F121" s="2"/>
    </row>
    <row r="122" spans="6:6" x14ac:dyDescent="0.2">
      <c r="F122" s="2"/>
    </row>
    <row r="123" spans="6:6" x14ac:dyDescent="0.2">
      <c r="F123" s="2"/>
    </row>
    <row r="124" spans="6:6" x14ac:dyDescent="0.2">
      <c r="F124" s="2"/>
    </row>
    <row r="125" spans="6:6" x14ac:dyDescent="0.2">
      <c r="F125" s="2"/>
    </row>
    <row r="126" spans="6:6" x14ac:dyDescent="0.2">
      <c r="F126" s="2"/>
    </row>
    <row r="127" spans="6:6" x14ac:dyDescent="0.2">
      <c r="F127" s="2"/>
    </row>
    <row r="128" spans="6:6" x14ac:dyDescent="0.2">
      <c r="F128" s="2"/>
    </row>
    <row r="129" spans="6:6" x14ac:dyDescent="0.2">
      <c r="F129" s="2"/>
    </row>
    <row r="130" spans="6:6" x14ac:dyDescent="0.2">
      <c r="F130" s="2"/>
    </row>
    <row r="131" spans="6:6" x14ac:dyDescent="0.2">
      <c r="F131" s="2"/>
    </row>
    <row r="132" spans="6:6" x14ac:dyDescent="0.2">
      <c r="F132" s="2"/>
    </row>
    <row r="133" spans="6:6" x14ac:dyDescent="0.2">
      <c r="F133" s="2"/>
    </row>
    <row r="134" spans="6:6" x14ac:dyDescent="0.2">
      <c r="F134" s="2"/>
    </row>
    <row r="135" spans="6:6" x14ac:dyDescent="0.2">
      <c r="F135" s="2"/>
    </row>
    <row r="136" spans="6:6" x14ac:dyDescent="0.2">
      <c r="F136" s="2"/>
    </row>
    <row r="137" spans="6:6" x14ac:dyDescent="0.2">
      <c r="F137" s="2"/>
    </row>
    <row r="138" spans="6:6" x14ac:dyDescent="0.2">
      <c r="F138" s="2"/>
    </row>
    <row r="139" spans="6:6" x14ac:dyDescent="0.2">
      <c r="F139" s="2"/>
    </row>
    <row r="140" spans="6:6" x14ac:dyDescent="0.2">
      <c r="F140" s="2"/>
    </row>
    <row r="141" spans="6:6" x14ac:dyDescent="0.2">
      <c r="F141" s="2"/>
    </row>
    <row r="142" spans="6:6" x14ac:dyDescent="0.2">
      <c r="F142" s="2"/>
    </row>
    <row r="143" spans="6:6" x14ac:dyDescent="0.2">
      <c r="F143" s="2"/>
    </row>
    <row r="144" spans="6:6" x14ac:dyDescent="0.2">
      <c r="F144" s="2"/>
    </row>
    <row r="145" spans="6:6" x14ac:dyDescent="0.2">
      <c r="F145" s="2"/>
    </row>
    <row r="146" spans="6:6" x14ac:dyDescent="0.2">
      <c r="F146" s="2"/>
    </row>
    <row r="147" spans="6:6" x14ac:dyDescent="0.2">
      <c r="F147" s="2"/>
    </row>
    <row r="148" spans="6:6" x14ac:dyDescent="0.2">
      <c r="F148" s="2"/>
    </row>
    <row r="149" spans="6:6" x14ac:dyDescent="0.2">
      <c r="F149" s="2"/>
    </row>
    <row r="150" spans="6:6" x14ac:dyDescent="0.2">
      <c r="F150" s="2"/>
    </row>
    <row r="151" spans="6:6" x14ac:dyDescent="0.2">
      <c r="F151" s="2"/>
    </row>
    <row r="152" spans="6:6" x14ac:dyDescent="0.2">
      <c r="F152" s="2"/>
    </row>
    <row r="153" spans="6:6" x14ac:dyDescent="0.2">
      <c r="F153" s="2"/>
    </row>
    <row r="154" spans="6:6" x14ac:dyDescent="0.2">
      <c r="F154" s="2"/>
    </row>
    <row r="155" spans="6:6" x14ac:dyDescent="0.2">
      <c r="F155" s="2"/>
    </row>
    <row r="156" spans="6:6" x14ac:dyDescent="0.2">
      <c r="F156" s="2"/>
    </row>
    <row r="157" spans="6:6" x14ac:dyDescent="0.2">
      <c r="F157" s="2"/>
    </row>
    <row r="158" spans="6:6" x14ac:dyDescent="0.2">
      <c r="F158" s="2"/>
    </row>
    <row r="159" spans="6:6" x14ac:dyDescent="0.2">
      <c r="F159" s="2"/>
    </row>
    <row r="160" spans="6:6" x14ac:dyDescent="0.2">
      <c r="F160" s="2"/>
    </row>
    <row r="161" spans="6:6" x14ac:dyDescent="0.2">
      <c r="F161" s="2"/>
    </row>
    <row r="162" spans="6:6" x14ac:dyDescent="0.2">
      <c r="F162" s="2"/>
    </row>
    <row r="163" spans="6:6" x14ac:dyDescent="0.2">
      <c r="F163" s="2"/>
    </row>
    <row r="164" spans="6:6" x14ac:dyDescent="0.2">
      <c r="F164" s="2"/>
    </row>
    <row r="165" spans="6:6" x14ac:dyDescent="0.2">
      <c r="F165" s="2"/>
    </row>
    <row r="166" spans="6:6" x14ac:dyDescent="0.2">
      <c r="F166" s="2"/>
    </row>
    <row r="167" spans="6:6" x14ac:dyDescent="0.2">
      <c r="F167" s="2"/>
    </row>
    <row r="168" spans="6:6" x14ac:dyDescent="0.2">
      <c r="F168" s="2"/>
    </row>
    <row r="169" spans="6:6" x14ac:dyDescent="0.2">
      <c r="F169" s="2"/>
    </row>
    <row r="170" spans="6:6" x14ac:dyDescent="0.2">
      <c r="F170" s="2"/>
    </row>
    <row r="171" spans="6:6" x14ac:dyDescent="0.2">
      <c r="F171" s="2"/>
    </row>
    <row r="172" spans="6:6" x14ac:dyDescent="0.2">
      <c r="F172" s="2"/>
    </row>
    <row r="173" spans="6:6" x14ac:dyDescent="0.2">
      <c r="F173" s="2"/>
    </row>
    <row r="174" spans="6:6" x14ac:dyDescent="0.2">
      <c r="F174" s="2"/>
    </row>
    <row r="175" spans="6:6" x14ac:dyDescent="0.2">
      <c r="F175" s="2"/>
    </row>
    <row r="176" spans="6:6" x14ac:dyDescent="0.2">
      <c r="F176" s="2"/>
    </row>
    <row r="177" spans="6:6" x14ac:dyDescent="0.2">
      <c r="F177" s="2"/>
    </row>
    <row r="178" spans="6:6" x14ac:dyDescent="0.2">
      <c r="F178" s="2"/>
    </row>
    <row r="179" spans="6:6" x14ac:dyDescent="0.2">
      <c r="F179" s="2"/>
    </row>
    <row r="180" spans="6:6" x14ac:dyDescent="0.2">
      <c r="F180" s="2"/>
    </row>
    <row r="181" spans="6:6" x14ac:dyDescent="0.2">
      <c r="F181" s="2"/>
    </row>
    <row r="182" spans="6:6" x14ac:dyDescent="0.2">
      <c r="F182" s="2"/>
    </row>
    <row r="183" spans="6:6" x14ac:dyDescent="0.2">
      <c r="F183" s="2"/>
    </row>
    <row r="184" spans="6:6" x14ac:dyDescent="0.2">
      <c r="F184" s="2"/>
    </row>
    <row r="185" spans="6:6" x14ac:dyDescent="0.2">
      <c r="F185" s="2"/>
    </row>
    <row r="186" spans="6:6" x14ac:dyDescent="0.2">
      <c r="F186" s="2"/>
    </row>
    <row r="187" spans="6:6" x14ac:dyDescent="0.2">
      <c r="F187" s="2"/>
    </row>
    <row r="188" spans="6:6" x14ac:dyDescent="0.2">
      <c r="F188" s="2"/>
    </row>
    <row r="189" spans="6:6" x14ac:dyDescent="0.2">
      <c r="F189" s="2"/>
    </row>
    <row r="190" spans="6:6" x14ac:dyDescent="0.2">
      <c r="F190" s="2"/>
    </row>
    <row r="191" spans="6:6" x14ac:dyDescent="0.2">
      <c r="F191" s="2"/>
    </row>
    <row r="192" spans="6:6" x14ac:dyDescent="0.2">
      <c r="F192" s="2"/>
    </row>
    <row r="193" spans="6:6" x14ac:dyDescent="0.2">
      <c r="F193" s="2"/>
    </row>
    <row r="194" spans="6:6" x14ac:dyDescent="0.2">
      <c r="F194" s="2"/>
    </row>
    <row r="195" spans="6:6" x14ac:dyDescent="0.2">
      <c r="F195" s="2"/>
    </row>
    <row r="196" spans="6:6" x14ac:dyDescent="0.2">
      <c r="F196" s="2"/>
    </row>
    <row r="197" spans="6:6" x14ac:dyDescent="0.2">
      <c r="F197" s="2"/>
    </row>
    <row r="198" spans="6:6" x14ac:dyDescent="0.2">
      <c r="F198" s="2"/>
    </row>
    <row r="199" spans="6:6" x14ac:dyDescent="0.2">
      <c r="F199" s="2"/>
    </row>
    <row r="200" spans="6:6" x14ac:dyDescent="0.2">
      <c r="F200" s="2"/>
    </row>
    <row r="201" spans="6:6" x14ac:dyDescent="0.2">
      <c r="F201" s="2"/>
    </row>
    <row r="202" spans="6:6" x14ac:dyDescent="0.2">
      <c r="F202" s="2"/>
    </row>
    <row r="203" spans="6:6" x14ac:dyDescent="0.2">
      <c r="F203" s="2"/>
    </row>
    <row r="204" spans="6:6" x14ac:dyDescent="0.2">
      <c r="F204" s="2"/>
    </row>
    <row r="205" spans="6:6" x14ac:dyDescent="0.2">
      <c r="F205" s="2"/>
    </row>
    <row r="206" spans="6:6" x14ac:dyDescent="0.2">
      <c r="F206" s="2"/>
    </row>
    <row r="207" spans="6:6" x14ac:dyDescent="0.2">
      <c r="F207" s="2"/>
    </row>
    <row r="208" spans="6:6" x14ac:dyDescent="0.2">
      <c r="F208" s="2"/>
    </row>
    <row r="209" spans="6:6" x14ac:dyDescent="0.2">
      <c r="F209" s="2"/>
    </row>
    <row r="210" spans="6:6" x14ac:dyDescent="0.2">
      <c r="F210" s="2"/>
    </row>
    <row r="211" spans="6:6" x14ac:dyDescent="0.2">
      <c r="F211" s="2"/>
    </row>
    <row r="212" spans="6:6" x14ac:dyDescent="0.2">
      <c r="F212" s="2"/>
    </row>
    <row r="213" spans="6:6" x14ac:dyDescent="0.2">
      <c r="F213" s="2"/>
    </row>
    <row r="214" spans="6:6" x14ac:dyDescent="0.2">
      <c r="F214" s="2"/>
    </row>
  </sheetData>
  <mergeCells count="16">
    <mergeCell ref="M4:M5"/>
    <mergeCell ref="J40:J41"/>
    <mergeCell ref="F38:F39"/>
    <mergeCell ref="F40:F41"/>
    <mergeCell ref="F42:F43"/>
    <mergeCell ref="J38:J39"/>
    <mergeCell ref="F18:F19"/>
    <mergeCell ref="F20:F21"/>
    <mergeCell ref="F24:F25"/>
    <mergeCell ref="G17:I17"/>
    <mergeCell ref="F22:F23"/>
    <mergeCell ref="G4:H4"/>
    <mergeCell ref="F5:F6"/>
    <mergeCell ref="F7:F8"/>
    <mergeCell ref="F9:F10"/>
    <mergeCell ref="J4:J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E2580-777F-EE48-8C49-7E27F55224FF}">
  <dimension ref="B2:O52"/>
  <sheetViews>
    <sheetView workbookViewId="0">
      <selection activeCell="M6" sqref="M6"/>
    </sheetView>
  </sheetViews>
  <sheetFormatPr baseColWidth="10" defaultRowHeight="16" x14ac:dyDescent="0.2"/>
  <cols>
    <col min="1" max="1" width="10.83203125" style="1"/>
    <col min="2" max="2" width="25.83203125" style="1" bestFit="1" customWidth="1"/>
    <col min="3" max="3" width="19.1640625" style="1" bestFit="1" customWidth="1"/>
    <col min="4" max="4" width="10.83203125" style="1"/>
    <col min="5" max="5" width="21.6640625" style="1" bestFit="1" customWidth="1"/>
    <col min="6" max="6" width="21.5" style="1" bestFit="1" customWidth="1"/>
    <col min="7" max="11" width="10.83203125" style="1"/>
    <col min="12" max="12" width="19.6640625" style="1" customWidth="1"/>
    <col min="13" max="16384" width="10.83203125" style="1"/>
  </cols>
  <sheetData>
    <row r="2" spans="2:14" x14ac:dyDescent="0.2">
      <c r="B2" s="21" t="s">
        <v>54</v>
      </c>
      <c r="C2" s="9"/>
      <c r="D2" s="9"/>
      <c r="E2" s="9"/>
      <c r="F2" s="9"/>
      <c r="G2" s="9"/>
      <c r="L2" s="32" t="s">
        <v>89</v>
      </c>
      <c r="M2" s="33"/>
      <c r="N2" s="33"/>
    </row>
    <row r="3" spans="2:14" x14ac:dyDescent="0.2">
      <c r="B3" s="101"/>
      <c r="C3" s="34" t="s">
        <v>42</v>
      </c>
      <c r="D3" s="34" t="s">
        <v>443</v>
      </c>
      <c r="E3" s="34" t="s">
        <v>43</v>
      </c>
      <c r="F3" s="34" t="s">
        <v>44</v>
      </c>
      <c r="G3" s="34" t="s">
        <v>45</v>
      </c>
      <c r="L3" s="97"/>
      <c r="M3" s="34" t="s">
        <v>42</v>
      </c>
      <c r="N3" s="34" t="s">
        <v>443</v>
      </c>
    </row>
    <row r="4" spans="2:14" x14ac:dyDescent="0.2">
      <c r="B4" s="102"/>
      <c r="C4" s="36" t="s">
        <v>27</v>
      </c>
      <c r="D4" s="36" t="s">
        <v>28</v>
      </c>
      <c r="E4" s="36" t="s">
        <v>29</v>
      </c>
      <c r="F4" s="37" t="s">
        <v>30</v>
      </c>
      <c r="G4" s="37" t="s">
        <v>53</v>
      </c>
      <c r="L4" s="98"/>
      <c r="M4" s="37" t="s">
        <v>27</v>
      </c>
      <c r="N4" s="37" t="s">
        <v>28</v>
      </c>
    </row>
    <row r="5" spans="2:14" ht="31" customHeight="1" x14ac:dyDescent="0.2">
      <c r="B5" s="102"/>
      <c r="C5" s="103" t="s">
        <v>450</v>
      </c>
      <c r="D5" s="103"/>
      <c r="E5" s="103" t="s">
        <v>451</v>
      </c>
      <c r="F5" s="103"/>
      <c r="G5" s="103"/>
      <c r="L5" s="98"/>
      <c r="M5" s="86" t="s">
        <v>488</v>
      </c>
      <c r="N5" s="86"/>
    </row>
    <row r="6" spans="2:14" x14ac:dyDescent="0.2">
      <c r="B6" s="100" t="s">
        <v>21</v>
      </c>
      <c r="C6" s="13" t="s">
        <v>369</v>
      </c>
      <c r="D6" s="13" t="s">
        <v>399</v>
      </c>
      <c r="E6" s="13" t="s">
        <v>400</v>
      </c>
      <c r="F6" s="13" t="s">
        <v>400</v>
      </c>
      <c r="G6" s="13" t="s">
        <v>405</v>
      </c>
      <c r="L6" s="100" t="s">
        <v>21</v>
      </c>
      <c r="M6" s="38" t="s">
        <v>408</v>
      </c>
      <c r="N6" s="38" t="s">
        <v>409</v>
      </c>
    </row>
    <row r="7" spans="2:14" x14ac:dyDescent="0.2">
      <c r="B7" s="100"/>
      <c r="C7" s="13" t="s">
        <v>93</v>
      </c>
      <c r="D7" s="13" t="s">
        <v>371</v>
      </c>
      <c r="E7" s="13" t="s">
        <v>90</v>
      </c>
      <c r="F7" s="13" t="s">
        <v>406</v>
      </c>
      <c r="G7" s="13" t="s">
        <v>406</v>
      </c>
      <c r="L7" s="100"/>
      <c r="M7" s="38" t="s">
        <v>484</v>
      </c>
      <c r="N7" s="38" t="s">
        <v>410</v>
      </c>
    </row>
    <row r="8" spans="2:14" ht="16" customHeight="1" x14ac:dyDescent="0.2">
      <c r="B8" s="87" t="s">
        <v>444</v>
      </c>
      <c r="C8" s="13" t="s">
        <v>373</v>
      </c>
      <c r="D8" s="13" t="s">
        <v>401</v>
      </c>
      <c r="E8" s="13" t="s">
        <v>402</v>
      </c>
      <c r="F8" s="13" t="s">
        <v>407</v>
      </c>
      <c r="G8" s="13" t="s">
        <v>407</v>
      </c>
      <c r="L8" s="87" t="s">
        <v>444</v>
      </c>
      <c r="M8" s="13" t="s">
        <v>485</v>
      </c>
      <c r="N8" s="13" t="s">
        <v>411</v>
      </c>
    </row>
    <row r="9" spans="2:14" x14ac:dyDescent="0.2">
      <c r="B9" s="87"/>
      <c r="C9" s="13" t="s">
        <v>3</v>
      </c>
      <c r="D9" s="13" t="s">
        <v>3</v>
      </c>
      <c r="E9" s="13" t="s">
        <v>12</v>
      </c>
      <c r="F9" s="13" t="s">
        <v>395</v>
      </c>
      <c r="G9" s="13" t="s">
        <v>395</v>
      </c>
      <c r="L9" s="87"/>
      <c r="M9" s="13" t="s">
        <v>486</v>
      </c>
      <c r="N9" s="13" t="s">
        <v>412</v>
      </c>
    </row>
    <row r="10" spans="2:14" ht="16" customHeight="1" x14ac:dyDescent="0.2">
      <c r="B10" s="87" t="s">
        <v>445</v>
      </c>
      <c r="C10" s="13" t="s">
        <v>374</v>
      </c>
      <c r="D10" s="13" t="s">
        <v>403</v>
      </c>
      <c r="E10" s="13" t="s">
        <v>404</v>
      </c>
      <c r="F10" s="13" t="s">
        <v>404</v>
      </c>
      <c r="G10" s="13" t="s">
        <v>404</v>
      </c>
      <c r="L10" s="87" t="s">
        <v>445</v>
      </c>
      <c r="M10" s="13" t="s">
        <v>413</v>
      </c>
      <c r="N10" s="13" t="s">
        <v>413</v>
      </c>
    </row>
    <row r="11" spans="2:14" x14ac:dyDescent="0.2">
      <c r="B11" s="88"/>
      <c r="C11" s="14" t="s">
        <v>375</v>
      </c>
      <c r="D11" s="14" t="s">
        <v>375</v>
      </c>
      <c r="E11" s="14" t="s">
        <v>3</v>
      </c>
      <c r="F11" s="14" t="s">
        <v>3</v>
      </c>
      <c r="G11" s="14" t="s">
        <v>3</v>
      </c>
      <c r="L11" s="88"/>
      <c r="M11" s="14" t="s">
        <v>487</v>
      </c>
      <c r="N11" s="14" t="s">
        <v>376</v>
      </c>
    </row>
    <row r="12" spans="2:14" x14ac:dyDescent="0.2">
      <c r="B12" s="39" t="s">
        <v>46</v>
      </c>
      <c r="C12" s="36" t="s">
        <v>23</v>
      </c>
      <c r="D12" s="36" t="s">
        <v>23</v>
      </c>
      <c r="E12" s="36" t="s">
        <v>23</v>
      </c>
      <c r="F12" s="36" t="s">
        <v>23</v>
      </c>
      <c r="G12" s="36" t="s">
        <v>23</v>
      </c>
      <c r="L12" s="40" t="s">
        <v>46</v>
      </c>
      <c r="M12" s="37" t="s">
        <v>23</v>
      </c>
      <c r="N12" s="37" t="s">
        <v>23</v>
      </c>
    </row>
    <row r="13" spans="2:14" x14ac:dyDescent="0.2">
      <c r="B13" s="39" t="s">
        <v>25</v>
      </c>
      <c r="C13" s="36" t="s">
        <v>23</v>
      </c>
      <c r="D13" s="36" t="s">
        <v>23</v>
      </c>
      <c r="E13" s="36" t="s">
        <v>23</v>
      </c>
      <c r="F13" s="36" t="s">
        <v>23</v>
      </c>
      <c r="G13" s="36" t="s">
        <v>23</v>
      </c>
      <c r="L13" s="40" t="s">
        <v>25</v>
      </c>
      <c r="M13" s="37" t="s">
        <v>23</v>
      </c>
      <c r="N13" s="37" t="s">
        <v>23</v>
      </c>
    </row>
    <row r="14" spans="2:14" x14ac:dyDescent="0.2">
      <c r="B14" s="41" t="s">
        <v>47</v>
      </c>
      <c r="C14" s="42"/>
      <c r="D14" s="43" t="s">
        <v>23</v>
      </c>
      <c r="E14" s="42"/>
      <c r="F14" s="42"/>
      <c r="G14" s="42"/>
      <c r="L14" s="16" t="s">
        <v>47</v>
      </c>
      <c r="M14" s="14"/>
      <c r="N14" s="44" t="s">
        <v>23</v>
      </c>
    </row>
    <row r="15" spans="2:14" x14ac:dyDescent="0.2">
      <c r="B15" s="45" t="s">
        <v>26</v>
      </c>
      <c r="C15" s="46">
        <v>3612</v>
      </c>
      <c r="D15" s="46">
        <v>3612</v>
      </c>
      <c r="E15" s="46">
        <v>3612</v>
      </c>
      <c r="F15" s="46">
        <v>3612</v>
      </c>
      <c r="G15" s="46">
        <v>3612</v>
      </c>
      <c r="L15" s="15" t="s">
        <v>26</v>
      </c>
      <c r="M15" s="37" t="s">
        <v>367</v>
      </c>
      <c r="N15" s="37" t="s">
        <v>367</v>
      </c>
    </row>
    <row r="16" spans="2:14" x14ac:dyDescent="0.2">
      <c r="B16" s="45" t="s">
        <v>48</v>
      </c>
      <c r="C16" s="47"/>
      <c r="D16" s="35">
        <v>2741.982</v>
      </c>
      <c r="E16" s="47" t="s">
        <v>372</v>
      </c>
      <c r="F16" s="35">
        <v>10108.205</v>
      </c>
      <c r="G16" s="35">
        <v>10110.206</v>
      </c>
      <c r="L16" s="15" t="s">
        <v>48</v>
      </c>
      <c r="M16" s="48"/>
      <c r="N16" s="13" t="s">
        <v>414</v>
      </c>
    </row>
    <row r="17" spans="2:15" x14ac:dyDescent="0.2">
      <c r="B17" s="45" t="s">
        <v>49</v>
      </c>
      <c r="C17" s="47"/>
      <c r="D17" s="35">
        <v>3924.6570000000002</v>
      </c>
      <c r="E17" s="47" t="s">
        <v>372</v>
      </c>
      <c r="F17" s="47" t="s">
        <v>372</v>
      </c>
      <c r="G17" s="47" t="s">
        <v>372</v>
      </c>
      <c r="L17" s="15" t="s">
        <v>49</v>
      </c>
      <c r="M17" s="48"/>
      <c r="N17" s="13" t="s">
        <v>415</v>
      </c>
    </row>
    <row r="18" spans="2:15" x14ac:dyDescent="0.2">
      <c r="B18" s="45" t="s">
        <v>50</v>
      </c>
      <c r="C18" s="47"/>
      <c r="D18" s="35">
        <v>-1179.991</v>
      </c>
      <c r="E18" s="35">
        <v>-4864.1019999999999</v>
      </c>
      <c r="F18" s="35">
        <v>-4864.1019999999999</v>
      </c>
      <c r="G18" s="35">
        <v>-4864.1030000000001</v>
      </c>
      <c r="L18" s="16" t="s">
        <v>50</v>
      </c>
      <c r="M18" s="49"/>
      <c r="N18" s="14" t="s">
        <v>416</v>
      </c>
    </row>
    <row r="19" spans="2:15" x14ac:dyDescent="0.2">
      <c r="B19" s="45" t="s">
        <v>51</v>
      </c>
      <c r="C19" s="47"/>
      <c r="D19" s="47"/>
      <c r="E19" s="35">
        <v>3537.1010000000001</v>
      </c>
      <c r="F19" s="47"/>
      <c r="G19" s="47"/>
    </row>
    <row r="20" spans="2:15" x14ac:dyDescent="0.2">
      <c r="B20" s="41" t="s">
        <v>52</v>
      </c>
      <c r="C20" s="42"/>
      <c r="D20" s="42"/>
      <c r="E20" s="42">
        <v>1.4E-2</v>
      </c>
      <c r="F20" s="42"/>
      <c r="G20" s="42"/>
    </row>
    <row r="23" spans="2:15" x14ac:dyDescent="0.2">
      <c r="B23" s="50" t="s">
        <v>61</v>
      </c>
      <c r="C23" s="9"/>
      <c r="D23" s="9"/>
      <c r="E23" s="9"/>
      <c r="F23" s="9"/>
      <c r="G23" s="9"/>
      <c r="H23" s="9"/>
      <c r="I23" s="9"/>
      <c r="L23" s="50" t="s">
        <v>61</v>
      </c>
    </row>
    <row r="24" spans="2:15" x14ac:dyDescent="0.2">
      <c r="B24" s="101"/>
      <c r="C24" s="8" t="s">
        <v>27</v>
      </c>
      <c r="D24" s="8" t="s">
        <v>28</v>
      </c>
      <c r="E24" s="8" t="s">
        <v>29</v>
      </c>
      <c r="F24" s="8" t="s">
        <v>30</v>
      </c>
      <c r="G24" s="8" t="s">
        <v>53</v>
      </c>
      <c r="H24" s="8" t="s">
        <v>59</v>
      </c>
      <c r="I24" s="8" t="s">
        <v>60</v>
      </c>
      <c r="L24" s="97"/>
      <c r="M24" s="8" t="s">
        <v>27</v>
      </c>
      <c r="N24" s="8" t="s">
        <v>28</v>
      </c>
      <c r="O24" s="8" t="s">
        <v>29</v>
      </c>
    </row>
    <row r="25" spans="2:15" ht="29" customHeight="1" x14ac:dyDescent="0.2">
      <c r="B25" s="102"/>
      <c r="C25" s="99" t="s">
        <v>453</v>
      </c>
      <c r="D25" s="99" t="s">
        <v>452</v>
      </c>
      <c r="E25" s="99"/>
      <c r="F25" s="99"/>
      <c r="G25" s="99" t="s">
        <v>450</v>
      </c>
      <c r="H25" s="99"/>
      <c r="I25" s="99"/>
      <c r="L25" s="98"/>
      <c r="M25" s="99" t="s">
        <v>488</v>
      </c>
      <c r="N25" s="99"/>
      <c r="O25" s="99"/>
    </row>
    <row r="26" spans="2:15" ht="40" customHeight="1" x14ac:dyDescent="0.2">
      <c r="B26" s="102"/>
      <c r="C26" s="103"/>
      <c r="D26" s="25" t="s">
        <v>56</v>
      </c>
      <c r="E26" s="25" t="s">
        <v>57</v>
      </c>
      <c r="F26" s="25" t="s">
        <v>58</v>
      </c>
      <c r="G26" s="103"/>
      <c r="H26" s="103"/>
      <c r="I26" s="103"/>
      <c r="L26" s="98"/>
      <c r="M26" s="25" t="s">
        <v>94</v>
      </c>
      <c r="N26" s="25" t="s">
        <v>95</v>
      </c>
      <c r="O26" s="25" t="s">
        <v>96</v>
      </c>
    </row>
    <row r="27" spans="2:15" x14ac:dyDescent="0.2">
      <c r="B27" s="100" t="s">
        <v>21</v>
      </c>
      <c r="C27" s="13" t="s">
        <v>467</v>
      </c>
      <c r="D27" s="13" t="s">
        <v>417</v>
      </c>
      <c r="E27" s="13" t="s">
        <v>369</v>
      </c>
      <c r="F27" s="13" t="s">
        <v>418</v>
      </c>
      <c r="G27" s="13" t="s">
        <v>419</v>
      </c>
      <c r="H27" s="13" t="s">
        <v>420</v>
      </c>
      <c r="I27" s="13" t="s">
        <v>421</v>
      </c>
      <c r="L27" s="100" t="s">
        <v>21</v>
      </c>
      <c r="M27" s="13" t="s">
        <v>425</v>
      </c>
      <c r="N27" s="13" t="s">
        <v>426</v>
      </c>
      <c r="O27" s="13" t="s">
        <v>427</v>
      </c>
    </row>
    <row r="28" spans="2:15" x14ac:dyDescent="0.2">
      <c r="B28" s="100"/>
      <c r="C28" s="13" t="s">
        <v>468</v>
      </c>
      <c r="D28" s="13" t="s">
        <v>93</v>
      </c>
      <c r="E28" s="13" t="s">
        <v>93</v>
      </c>
      <c r="F28" s="13" t="s">
        <v>14</v>
      </c>
      <c r="G28" s="13" t="s">
        <v>469</v>
      </c>
      <c r="H28" s="13" t="s">
        <v>193</v>
      </c>
      <c r="I28" s="13" t="s">
        <v>470</v>
      </c>
      <c r="L28" s="100"/>
      <c r="M28" s="13" t="s">
        <v>428</v>
      </c>
      <c r="N28" s="13" t="s">
        <v>429</v>
      </c>
      <c r="O28" s="13" t="s">
        <v>430</v>
      </c>
    </row>
    <row r="29" spans="2:15" ht="16" customHeight="1" x14ac:dyDescent="0.2">
      <c r="B29" s="87" t="s">
        <v>444</v>
      </c>
      <c r="C29" s="13" t="s">
        <v>471</v>
      </c>
      <c r="D29" s="13" t="s">
        <v>422</v>
      </c>
      <c r="E29" s="13" t="s">
        <v>368</v>
      </c>
      <c r="F29" s="13" t="s">
        <v>472</v>
      </c>
      <c r="G29" s="13" t="s">
        <v>473</v>
      </c>
      <c r="H29" s="13" t="s">
        <v>474</v>
      </c>
      <c r="I29" s="13" t="s">
        <v>384</v>
      </c>
      <c r="L29" s="87" t="s">
        <v>444</v>
      </c>
      <c r="M29" s="13" t="s">
        <v>431</v>
      </c>
      <c r="N29" s="13" t="s">
        <v>432</v>
      </c>
      <c r="O29" s="13" t="s">
        <v>433</v>
      </c>
    </row>
    <row r="30" spans="2:15" x14ac:dyDescent="0.2">
      <c r="B30" s="87"/>
      <c r="C30" s="13" t="s">
        <v>16</v>
      </c>
      <c r="D30" s="13" t="s">
        <v>3</v>
      </c>
      <c r="E30" s="13" t="s">
        <v>3</v>
      </c>
      <c r="F30" s="13" t="s">
        <v>3</v>
      </c>
      <c r="G30" s="13" t="s">
        <v>20</v>
      </c>
      <c r="H30" s="13" t="s">
        <v>289</v>
      </c>
      <c r="I30" s="13" t="s">
        <v>5</v>
      </c>
      <c r="L30" s="87"/>
      <c r="M30" s="13" t="s">
        <v>434</v>
      </c>
      <c r="N30" s="13" t="s">
        <v>435</v>
      </c>
      <c r="O30" s="13" t="s">
        <v>436</v>
      </c>
    </row>
    <row r="31" spans="2:15" ht="16" customHeight="1" x14ac:dyDescent="0.2">
      <c r="B31" s="87" t="s">
        <v>445</v>
      </c>
      <c r="C31" s="13" t="s">
        <v>8</v>
      </c>
      <c r="D31" s="13" t="s">
        <v>13</v>
      </c>
      <c r="E31" s="13" t="s">
        <v>374</v>
      </c>
      <c r="F31" s="13" t="s">
        <v>374</v>
      </c>
      <c r="G31" s="13" t="s">
        <v>13</v>
      </c>
      <c r="H31" s="13" t="s">
        <v>370</v>
      </c>
      <c r="I31" s="13" t="s">
        <v>423</v>
      </c>
      <c r="L31" s="87" t="s">
        <v>445</v>
      </c>
      <c r="M31" s="13" t="s">
        <v>437</v>
      </c>
      <c r="N31" s="13" t="s">
        <v>438</v>
      </c>
      <c r="O31" s="13" t="s">
        <v>439</v>
      </c>
    </row>
    <row r="32" spans="2:15" x14ac:dyDescent="0.2">
      <c r="B32" s="88"/>
      <c r="C32" s="14" t="s">
        <v>34</v>
      </c>
      <c r="D32" s="14" t="s">
        <v>375</v>
      </c>
      <c r="E32" s="14" t="s">
        <v>375</v>
      </c>
      <c r="F32" s="14" t="s">
        <v>375</v>
      </c>
      <c r="G32" s="14" t="s">
        <v>7</v>
      </c>
      <c r="H32" s="14" t="s">
        <v>34</v>
      </c>
      <c r="I32" s="14" t="s">
        <v>424</v>
      </c>
      <c r="L32" s="88"/>
      <c r="M32" s="14" t="s">
        <v>440</v>
      </c>
      <c r="N32" s="14" t="s">
        <v>441</v>
      </c>
      <c r="O32" s="14" t="s">
        <v>442</v>
      </c>
    </row>
    <row r="33" spans="2:15" x14ac:dyDescent="0.2">
      <c r="B33" s="51" t="s">
        <v>25</v>
      </c>
      <c r="C33" s="34" t="s">
        <v>23</v>
      </c>
      <c r="D33" s="34" t="s">
        <v>23</v>
      </c>
      <c r="E33" s="34" t="s">
        <v>23</v>
      </c>
      <c r="F33" s="34" t="s">
        <v>23</v>
      </c>
      <c r="G33" s="34" t="s">
        <v>23</v>
      </c>
      <c r="H33" s="34" t="s">
        <v>23</v>
      </c>
      <c r="I33" s="34" t="s">
        <v>23</v>
      </c>
      <c r="L33" s="40" t="s">
        <v>46</v>
      </c>
      <c r="M33" s="34" t="s">
        <v>23</v>
      </c>
      <c r="N33" s="34" t="s">
        <v>23</v>
      </c>
      <c r="O33" s="34" t="s">
        <v>23</v>
      </c>
    </row>
    <row r="34" spans="2:15" x14ac:dyDescent="0.2">
      <c r="B34" s="53" t="s">
        <v>46</v>
      </c>
      <c r="C34" s="42" t="s">
        <v>23</v>
      </c>
      <c r="D34" s="42" t="s">
        <v>23</v>
      </c>
      <c r="E34" s="42" t="s">
        <v>23</v>
      </c>
      <c r="F34" s="42" t="s">
        <v>23</v>
      </c>
      <c r="G34" s="42" t="s">
        <v>23</v>
      </c>
      <c r="H34" s="42" t="s">
        <v>23</v>
      </c>
      <c r="I34" s="42" t="s">
        <v>23</v>
      </c>
      <c r="L34" s="52" t="s">
        <v>25</v>
      </c>
      <c r="M34" s="42" t="s">
        <v>23</v>
      </c>
      <c r="N34" s="42" t="s">
        <v>23</v>
      </c>
      <c r="O34" s="42" t="s">
        <v>23</v>
      </c>
    </row>
    <row r="35" spans="2:15" x14ac:dyDescent="0.2">
      <c r="B35" s="53" t="s">
        <v>26</v>
      </c>
      <c r="C35" s="55">
        <v>3612</v>
      </c>
      <c r="D35" s="55">
        <v>3612</v>
      </c>
      <c r="E35" s="55">
        <v>3612</v>
      </c>
      <c r="F35" s="55">
        <v>3612</v>
      </c>
      <c r="G35" s="42">
        <v>837</v>
      </c>
      <c r="H35" s="54">
        <v>1606</v>
      </c>
      <c r="I35" s="54">
        <v>2412</v>
      </c>
      <c r="L35" s="16" t="s">
        <v>26</v>
      </c>
      <c r="M35" s="42">
        <v>592</v>
      </c>
      <c r="N35" s="54">
        <v>1214</v>
      </c>
      <c r="O35" s="54">
        <v>1833</v>
      </c>
    </row>
    <row r="39" spans="2:15" x14ac:dyDescent="0.2">
      <c r="B39" s="50" t="s">
        <v>71</v>
      </c>
      <c r="C39" s="9"/>
      <c r="D39" s="9"/>
    </row>
    <row r="40" spans="2:15" x14ac:dyDescent="0.2">
      <c r="B40" s="56"/>
      <c r="C40" s="8" t="s">
        <v>27</v>
      </c>
    </row>
    <row r="41" spans="2:15" ht="17" x14ac:dyDescent="0.2">
      <c r="B41" s="36"/>
      <c r="C41" s="43" t="s">
        <v>450</v>
      </c>
    </row>
    <row r="42" spans="2:15" x14ac:dyDescent="0.2">
      <c r="B42" s="91" t="s">
        <v>62</v>
      </c>
      <c r="C42" s="36">
        <v>-2.1999999999999999E-2</v>
      </c>
    </row>
    <row r="43" spans="2:15" x14ac:dyDescent="0.2">
      <c r="B43" s="92"/>
      <c r="C43" s="44" t="s">
        <v>17</v>
      </c>
    </row>
    <row r="44" spans="2:15" x14ac:dyDescent="0.2">
      <c r="B44" s="39" t="s">
        <v>63</v>
      </c>
      <c r="C44" s="36" t="s">
        <v>23</v>
      </c>
    </row>
    <row r="45" spans="2:15" x14ac:dyDescent="0.2">
      <c r="B45" s="53" t="s">
        <v>46</v>
      </c>
      <c r="C45" s="43" t="s">
        <v>23</v>
      </c>
    </row>
    <row r="46" spans="2:15" x14ac:dyDescent="0.2">
      <c r="B46" s="53" t="s">
        <v>26</v>
      </c>
      <c r="C46" s="55">
        <v>5984</v>
      </c>
    </row>
    <row r="49" spans="2:7" x14ac:dyDescent="0.2">
      <c r="B49" s="50" t="s">
        <v>64</v>
      </c>
      <c r="C49" s="9"/>
      <c r="D49" s="9"/>
      <c r="E49" s="9"/>
      <c r="F49" s="9"/>
      <c r="G49" s="9"/>
    </row>
    <row r="50" spans="2:7" x14ac:dyDescent="0.2">
      <c r="B50" s="93"/>
      <c r="C50" s="95" t="s">
        <v>65</v>
      </c>
      <c r="D50" s="95" t="s">
        <v>69</v>
      </c>
      <c r="E50" s="89" t="s">
        <v>70</v>
      </c>
      <c r="F50" s="89" t="s">
        <v>66</v>
      </c>
      <c r="G50" s="89" t="s">
        <v>67</v>
      </c>
    </row>
    <row r="51" spans="2:7" x14ac:dyDescent="0.2">
      <c r="B51" s="94"/>
      <c r="C51" s="96"/>
      <c r="D51" s="96"/>
      <c r="E51" s="90"/>
      <c r="F51" s="90"/>
      <c r="G51" s="90"/>
    </row>
    <row r="52" spans="2:7" ht="18" x14ac:dyDescent="0.2">
      <c r="B52" s="59" t="s">
        <v>68</v>
      </c>
      <c r="C52" s="57">
        <v>-4.5999999999999999E-2</v>
      </c>
      <c r="D52" s="57">
        <v>9.2999999999999999E-2</v>
      </c>
      <c r="E52" s="58">
        <v>0.121</v>
      </c>
      <c r="F52" s="58">
        <v>-4.4999999999999998E-2</v>
      </c>
      <c r="G52" s="58">
        <v>39.719000000000001</v>
      </c>
    </row>
  </sheetData>
  <mergeCells count="30">
    <mergeCell ref="B10:B11"/>
    <mergeCell ref="L3:L5"/>
    <mergeCell ref="M5:N5"/>
    <mergeCell ref="L6:L7"/>
    <mergeCell ref="L8:L9"/>
    <mergeCell ref="L10:L11"/>
    <mergeCell ref="B3:B5"/>
    <mergeCell ref="C5:D5"/>
    <mergeCell ref="E5:G5"/>
    <mergeCell ref="B6:B7"/>
    <mergeCell ref="B8:B9"/>
    <mergeCell ref="B31:B32"/>
    <mergeCell ref="L24:L26"/>
    <mergeCell ref="M25:O25"/>
    <mergeCell ref="L27:L28"/>
    <mergeCell ref="L29:L30"/>
    <mergeCell ref="L31:L32"/>
    <mergeCell ref="B24:B26"/>
    <mergeCell ref="C25:C26"/>
    <mergeCell ref="D25:F25"/>
    <mergeCell ref="B27:B28"/>
    <mergeCell ref="B29:B30"/>
    <mergeCell ref="G25:I26"/>
    <mergeCell ref="G50:G51"/>
    <mergeCell ref="B42:B43"/>
    <mergeCell ref="B50:B51"/>
    <mergeCell ref="C50:C51"/>
    <mergeCell ref="D50:D51"/>
    <mergeCell ref="E50:E51"/>
    <mergeCell ref="F50:F5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95946-6B31-F544-8BCC-3B47735E2549}">
  <dimension ref="B2:G10"/>
  <sheetViews>
    <sheetView workbookViewId="0">
      <selection activeCell="H16" sqref="H16"/>
    </sheetView>
  </sheetViews>
  <sheetFormatPr baseColWidth="10" defaultRowHeight="16" x14ac:dyDescent="0.2"/>
  <cols>
    <col min="1" max="5" width="10.83203125" style="1"/>
    <col min="6" max="6" width="29.6640625" style="1" customWidth="1"/>
    <col min="7" max="7" width="29.1640625" style="1" customWidth="1"/>
    <col min="8" max="16384" width="10.83203125" style="1"/>
  </cols>
  <sheetData>
    <row r="2" spans="2:7" x14ac:dyDescent="0.2">
      <c r="B2" s="21" t="s">
        <v>75</v>
      </c>
      <c r="C2"/>
      <c r="D2"/>
      <c r="E2"/>
      <c r="F2"/>
      <c r="G2"/>
    </row>
    <row r="3" spans="2:7" x14ac:dyDescent="0.2">
      <c r="B3" s="22"/>
      <c r="C3" s="8" t="s">
        <v>27</v>
      </c>
      <c r="D3" s="8" t="s">
        <v>28</v>
      </c>
      <c r="E3" s="8" t="s">
        <v>29</v>
      </c>
      <c r="F3" s="8" t="s">
        <v>30</v>
      </c>
      <c r="G3" s="8" t="s">
        <v>53</v>
      </c>
    </row>
    <row r="4" spans="2:7" ht="70" x14ac:dyDescent="0.2">
      <c r="B4" s="104" t="s">
        <v>32</v>
      </c>
      <c r="C4" s="105" t="s">
        <v>78</v>
      </c>
      <c r="D4" s="105"/>
      <c r="E4" s="105"/>
      <c r="F4" s="23" t="s">
        <v>131</v>
      </c>
      <c r="G4" s="23" t="s">
        <v>129</v>
      </c>
    </row>
    <row r="5" spans="2:7" x14ac:dyDescent="0.2">
      <c r="B5" s="104"/>
      <c r="C5" s="24" t="s">
        <v>72</v>
      </c>
      <c r="D5" s="25" t="s">
        <v>73</v>
      </c>
      <c r="E5" s="25" t="s">
        <v>74</v>
      </c>
      <c r="F5" s="26"/>
      <c r="G5" s="26"/>
    </row>
    <row r="6" spans="2:7" x14ac:dyDescent="0.2">
      <c r="B6" s="106" t="s">
        <v>41</v>
      </c>
      <c r="C6" s="23">
        <v>-0.01</v>
      </c>
      <c r="D6" s="27">
        <v>-2E-3</v>
      </c>
      <c r="E6" s="27">
        <v>-8.9999999999999993E-3</v>
      </c>
      <c r="F6" s="23">
        <v>-3.9E-2</v>
      </c>
      <c r="G6" s="23">
        <v>-8.9999999999999993E-3</v>
      </c>
    </row>
    <row r="7" spans="2:7" x14ac:dyDescent="0.2">
      <c r="B7" s="107"/>
      <c r="C7" s="28" t="s">
        <v>76</v>
      </c>
      <c r="D7" s="12" t="s">
        <v>77</v>
      </c>
      <c r="E7" s="12" t="s">
        <v>77</v>
      </c>
      <c r="F7" s="28" t="s">
        <v>16</v>
      </c>
      <c r="G7" s="28" t="s">
        <v>5</v>
      </c>
    </row>
    <row r="8" spans="2:7" ht="28" x14ac:dyDescent="0.2">
      <c r="B8" s="29" t="s">
        <v>25</v>
      </c>
      <c r="C8" s="23" t="s">
        <v>23</v>
      </c>
      <c r="D8" s="23" t="s">
        <v>23</v>
      </c>
      <c r="E8" s="23" t="s">
        <v>23</v>
      </c>
      <c r="F8" s="23" t="s">
        <v>23</v>
      </c>
      <c r="G8" s="23" t="s">
        <v>23</v>
      </c>
    </row>
    <row r="9" spans="2:7" x14ac:dyDescent="0.2">
      <c r="B9" s="30" t="s">
        <v>46</v>
      </c>
      <c r="C9" s="24" t="s">
        <v>23</v>
      </c>
      <c r="D9" s="24" t="s">
        <v>23</v>
      </c>
      <c r="E9" s="24" t="s">
        <v>23</v>
      </c>
      <c r="F9" s="24" t="s">
        <v>23</v>
      </c>
      <c r="G9" s="24" t="s">
        <v>23</v>
      </c>
    </row>
    <row r="10" spans="2:7" x14ac:dyDescent="0.2">
      <c r="B10" s="30" t="s">
        <v>26</v>
      </c>
      <c r="C10" s="31">
        <v>3613</v>
      </c>
      <c r="D10" s="31">
        <v>3613</v>
      </c>
      <c r="E10" s="31">
        <v>3613</v>
      </c>
      <c r="F10" s="31">
        <v>2748</v>
      </c>
      <c r="G10" s="31">
        <v>3613</v>
      </c>
    </row>
  </sheetData>
  <mergeCells count="3">
    <mergeCell ref="B4:B5"/>
    <mergeCell ref="C4:E4"/>
    <mergeCell ref="B6:B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3E07F-BB6D-304D-9967-A6255D4D21DE}">
  <dimension ref="A1:N83"/>
  <sheetViews>
    <sheetView topLeftCell="A45" zoomScale="110" zoomScaleNormal="110" workbookViewId="0">
      <selection activeCell="C64" sqref="C64"/>
    </sheetView>
  </sheetViews>
  <sheetFormatPr baseColWidth="10" defaultRowHeight="16" x14ac:dyDescent="0.2"/>
  <cols>
    <col min="1" max="1" width="48.83203125" customWidth="1"/>
    <col min="2" max="2" width="23.6640625" customWidth="1"/>
    <col min="3" max="3" width="13.1640625" customWidth="1"/>
    <col min="4" max="4" width="9.1640625" customWidth="1"/>
    <col min="5" max="5" width="13.33203125" customWidth="1"/>
    <col min="6" max="6" width="12.83203125" customWidth="1"/>
    <col min="7" max="7" width="39.83203125" customWidth="1"/>
    <col min="8" max="8" width="17" customWidth="1"/>
    <col min="9" max="9" width="48.1640625" customWidth="1"/>
    <col min="10" max="10" width="13" customWidth="1"/>
    <col min="11" max="11" width="15.33203125" customWidth="1"/>
    <col min="12" max="12" width="22.6640625" customWidth="1"/>
    <col min="13" max="13" width="15.6640625" customWidth="1"/>
    <col min="14" max="14" width="47.83203125" customWidth="1"/>
  </cols>
  <sheetData>
    <row r="1" spans="3:10" ht="17" thickBot="1" x14ac:dyDescent="0.25"/>
    <row r="2" spans="3:10" ht="18" customHeight="1" thickTop="1" thickBot="1" x14ac:dyDescent="0.25">
      <c r="C2" s="61" t="s">
        <v>151</v>
      </c>
      <c r="D2" s="61" t="s">
        <v>152</v>
      </c>
      <c r="E2" s="61" t="s">
        <v>153</v>
      </c>
      <c r="F2" s="61" t="s">
        <v>154</v>
      </c>
      <c r="G2" s="61" t="s">
        <v>155</v>
      </c>
      <c r="H2" s="61" t="s">
        <v>157</v>
      </c>
      <c r="I2" s="61" t="s">
        <v>158</v>
      </c>
      <c r="J2" s="61" t="s">
        <v>156</v>
      </c>
    </row>
    <row r="3" spans="3:10" ht="16" customHeight="1" x14ac:dyDescent="0.2">
      <c r="C3" s="115" t="s">
        <v>204</v>
      </c>
      <c r="D3" s="116" t="s">
        <v>159</v>
      </c>
      <c r="E3" s="116" t="s">
        <v>160</v>
      </c>
      <c r="F3" s="116" t="s">
        <v>161</v>
      </c>
      <c r="G3" s="116" t="s">
        <v>162</v>
      </c>
      <c r="H3" s="116" t="s">
        <v>164</v>
      </c>
      <c r="I3" s="64" t="s">
        <v>221</v>
      </c>
      <c r="J3" s="116" t="s">
        <v>163</v>
      </c>
    </row>
    <row r="4" spans="3:10" x14ac:dyDescent="0.2">
      <c r="C4" s="108"/>
      <c r="D4" s="109"/>
      <c r="E4" s="109"/>
      <c r="F4" s="109"/>
      <c r="G4" s="109"/>
      <c r="H4" s="109"/>
      <c r="I4" s="64" t="s">
        <v>165</v>
      </c>
      <c r="J4" s="109"/>
    </row>
    <row r="5" spans="3:10" ht="26" x14ac:dyDescent="0.2">
      <c r="C5" s="62" t="s">
        <v>223</v>
      </c>
      <c r="D5" s="63" t="s">
        <v>159</v>
      </c>
      <c r="E5" s="63" t="s">
        <v>160</v>
      </c>
      <c r="F5" s="63" t="s">
        <v>166</v>
      </c>
      <c r="G5" s="63" t="s">
        <v>162</v>
      </c>
      <c r="H5" s="63" t="s">
        <v>168</v>
      </c>
      <c r="I5" s="64" t="s">
        <v>169</v>
      </c>
      <c r="J5" s="63" t="s">
        <v>167</v>
      </c>
    </row>
    <row r="6" spans="3:10" ht="26" x14ac:dyDescent="0.2">
      <c r="C6" s="62" t="s">
        <v>205</v>
      </c>
      <c r="D6" s="63" t="s">
        <v>159</v>
      </c>
      <c r="E6" s="63" t="s">
        <v>160</v>
      </c>
      <c r="F6" s="63" t="s">
        <v>166</v>
      </c>
      <c r="G6" s="63" t="s">
        <v>162</v>
      </c>
      <c r="H6" s="63" t="s">
        <v>168</v>
      </c>
      <c r="I6" s="64" t="s">
        <v>169</v>
      </c>
      <c r="J6" s="63" t="s">
        <v>167</v>
      </c>
    </row>
    <row r="7" spans="3:10" ht="26" x14ac:dyDescent="0.2">
      <c r="C7" s="62" t="s">
        <v>206</v>
      </c>
      <c r="D7" s="63" t="s">
        <v>170</v>
      </c>
      <c r="E7" s="63" t="s">
        <v>160</v>
      </c>
      <c r="F7" s="63" t="s">
        <v>166</v>
      </c>
      <c r="G7" s="63" t="s">
        <v>162</v>
      </c>
      <c r="H7" s="63" t="s">
        <v>168</v>
      </c>
      <c r="I7" s="64" t="s">
        <v>169</v>
      </c>
      <c r="J7" s="63" t="s">
        <v>167</v>
      </c>
    </row>
    <row r="8" spans="3:10" ht="16" customHeight="1" x14ac:dyDescent="0.2">
      <c r="C8" s="108" t="s">
        <v>224</v>
      </c>
      <c r="D8" s="109" t="s">
        <v>170</v>
      </c>
      <c r="E8" s="109" t="s">
        <v>160</v>
      </c>
      <c r="F8" s="109" t="s">
        <v>166</v>
      </c>
      <c r="G8" s="109" t="s">
        <v>162</v>
      </c>
      <c r="H8" s="109" t="s">
        <v>172</v>
      </c>
      <c r="I8" s="64" t="s">
        <v>222</v>
      </c>
      <c r="J8" s="109" t="s">
        <v>171</v>
      </c>
    </row>
    <row r="9" spans="3:10" x14ac:dyDescent="0.2">
      <c r="C9" s="108"/>
      <c r="D9" s="109"/>
      <c r="E9" s="109"/>
      <c r="F9" s="109"/>
      <c r="G9" s="109"/>
      <c r="H9" s="109"/>
      <c r="I9" s="64" t="s">
        <v>173</v>
      </c>
      <c r="J9" s="109"/>
    </row>
    <row r="10" spans="3:10" x14ac:dyDescent="0.2">
      <c r="C10" s="108"/>
      <c r="D10" s="109"/>
      <c r="E10" s="109"/>
      <c r="F10" s="109"/>
      <c r="G10" s="109"/>
      <c r="H10" s="109"/>
      <c r="I10" s="64" t="s">
        <v>174</v>
      </c>
      <c r="J10" s="109"/>
    </row>
    <row r="11" spans="3:10" ht="16" customHeight="1" x14ac:dyDescent="0.2">
      <c r="C11" s="108" t="s">
        <v>225</v>
      </c>
      <c r="D11" s="109" t="s">
        <v>159</v>
      </c>
      <c r="E11" s="109" t="s">
        <v>160</v>
      </c>
      <c r="F11" s="109" t="s">
        <v>166</v>
      </c>
      <c r="G11" s="109" t="s">
        <v>162</v>
      </c>
      <c r="H11" s="109" t="s">
        <v>176</v>
      </c>
      <c r="I11" s="64" t="s">
        <v>182</v>
      </c>
      <c r="J11" s="109" t="s">
        <v>163</v>
      </c>
    </row>
    <row r="12" spans="3:10" x14ac:dyDescent="0.2">
      <c r="C12" s="108"/>
      <c r="D12" s="109"/>
      <c r="E12" s="109"/>
      <c r="F12" s="109"/>
      <c r="G12" s="109"/>
      <c r="H12" s="109"/>
      <c r="I12" s="64" t="s">
        <v>183</v>
      </c>
      <c r="J12" s="109"/>
    </row>
    <row r="13" spans="3:10" ht="16" customHeight="1" x14ac:dyDescent="0.2">
      <c r="C13" s="108" t="s">
        <v>226</v>
      </c>
      <c r="D13" s="109" t="s">
        <v>170</v>
      </c>
      <c r="E13" s="109" t="s">
        <v>160</v>
      </c>
      <c r="F13" s="109" t="s">
        <v>161</v>
      </c>
      <c r="G13" s="109" t="s">
        <v>162</v>
      </c>
      <c r="H13" s="109" t="s">
        <v>168</v>
      </c>
      <c r="I13" s="64" t="s">
        <v>184</v>
      </c>
      <c r="J13" s="109" t="s">
        <v>171</v>
      </c>
    </row>
    <row r="14" spans="3:10" x14ac:dyDescent="0.2">
      <c r="C14" s="108"/>
      <c r="D14" s="109"/>
      <c r="E14" s="109"/>
      <c r="F14" s="109"/>
      <c r="G14" s="109"/>
      <c r="H14" s="109"/>
      <c r="I14" s="64" t="s">
        <v>185</v>
      </c>
      <c r="J14" s="109"/>
    </row>
    <row r="15" spans="3:10" x14ac:dyDescent="0.2">
      <c r="C15" s="108"/>
      <c r="D15" s="109"/>
      <c r="E15" s="109"/>
      <c r="F15" s="109"/>
      <c r="G15" s="109"/>
      <c r="H15" s="109"/>
      <c r="I15" s="64" t="s">
        <v>186</v>
      </c>
      <c r="J15" s="109"/>
    </row>
    <row r="16" spans="3:10" ht="26" x14ac:dyDescent="0.2">
      <c r="C16" s="65" t="s">
        <v>207</v>
      </c>
      <c r="D16" s="66" t="s">
        <v>159</v>
      </c>
      <c r="E16" s="66" t="s">
        <v>160</v>
      </c>
      <c r="F16" s="66" t="s">
        <v>166</v>
      </c>
      <c r="G16" s="66" t="s">
        <v>162</v>
      </c>
      <c r="H16" s="66" t="s">
        <v>181</v>
      </c>
      <c r="I16" s="64" t="s">
        <v>187</v>
      </c>
      <c r="J16" s="66" t="s">
        <v>167</v>
      </c>
    </row>
    <row r="17" spans="1:10" ht="26" x14ac:dyDescent="0.2">
      <c r="C17" s="62" t="s">
        <v>208</v>
      </c>
      <c r="D17" s="66" t="s">
        <v>159</v>
      </c>
      <c r="E17" s="66" t="s">
        <v>160</v>
      </c>
      <c r="F17" s="66" t="s">
        <v>166</v>
      </c>
      <c r="G17" s="66" t="s">
        <v>162</v>
      </c>
      <c r="H17" s="66" t="s">
        <v>176</v>
      </c>
      <c r="I17" s="64" t="s">
        <v>177</v>
      </c>
      <c r="J17" s="66" t="s">
        <v>175</v>
      </c>
    </row>
    <row r="18" spans="1:10" ht="16" customHeight="1" x14ac:dyDescent="0.2">
      <c r="C18" s="108" t="s">
        <v>209</v>
      </c>
      <c r="D18" s="110" t="s">
        <v>210</v>
      </c>
      <c r="E18" s="110" t="s">
        <v>160</v>
      </c>
      <c r="F18" s="110" t="s">
        <v>161</v>
      </c>
      <c r="G18" s="112" t="s">
        <v>162</v>
      </c>
      <c r="H18" s="110" t="s">
        <v>211</v>
      </c>
      <c r="I18" s="64" t="s">
        <v>212</v>
      </c>
      <c r="J18" s="110" t="s">
        <v>163</v>
      </c>
    </row>
    <row r="19" spans="1:10" x14ac:dyDescent="0.2">
      <c r="C19" s="108"/>
      <c r="D19" s="110"/>
      <c r="E19" s="110"/>
      <c r="F19" s="110"/>
      <c r="G19" s="112"/>
      <c r="H19" s="110"/>
      <c r="I19" s="64" t="s">
        <v>213</v>
      </c>
      <c r="J19" s="110"/>
    </row>
    <row r="20" spans="1:10" ht="26" x14ac:dyDescent="0.2">
      <c r="C20" s="62" t="s">
        <v>214</v>
      </c>
      <c r="D20" s="67" t="s">
        <v>159</v>
      </c>
      <c r="E20" s="67" t="s">
        <v>160</v>
      </c>
      <c r="F20" s="67" t="s">
        <v>166</v>
      </c>
      <c r="G20" s="67" t="s">
        <v>162</v>
      </c>
      <c r="H20" s="66" t="s">
        <v>216</v>
      </c>
      <c r="I20" s="64" t="s">
        <v>217</v>
      </c>
      <c r="J20" s="67" t="s">
        <v>215</v>
      </c>
    </row>
    <row r="21" spans="1:10" x14ac:dyDescent="0.2">
      <c r="C21" s="108" t="s">
        <v>218</v>
      </c>
      <c r="D21" s="109" t="s">
        <v>178</v>
      </c>
      <c r="E21" s="109" t="s">
        <v>179</v>
      </c>
      <c r="F21" s="109" t="s">
        <v>166</v>
      </c>
      <c r="G21" s="109" t="s">
        <v>162</v>
      </c>
      <c r="H21" s="109" t="s">
        <v>180</v>
      </c>
      <c r="I21" s="64" t="s">
        <v>219</v>
      </c>
      <c r="J21" s="109" t="s">
        <v>175</v>
      </c>
    </row>
    <row r="22" spans="1:10" ht="17" thickBot="1" x14ac:dyDescent="0.25">
      <c r="C22" s="114"/>
      <c r="D22" s="113"/>
      <c r="E22" s="113"/>
      <c r="F22" s="113"/>
      <c r="G22" s="113"/>
      <c r="H22" s="113"/>
      <c r="I22" s="68" t="s">
        <v>220</v>
      </c>
      <c r="J22" s="113"/>
    </row>
    <row r="23" spans="1:10" ht="17" thickTop="1" x14ac:dyDescent="0.2"/>
    <row r="25" spans="1:10" ht="16" customHeight="1" x14ac:dyDescent="0.2"/>
    <row r="29" spans="1:10" ht="16" customHeight="1" x14ac:dyDescent="0.2">
      <c r="A29" t="s">
        <v>188</v>
      </c>
      <c r="B29" t="s">
        <v>191</v>
      </c>
    </row>
    <row r="30" spans="1:10" x14ac:dyDescent="0.2">
      <c r="B30" s="60" t="s">
        <v>190</v>
      </c>
    </row>
    <row r="31" spans="1:10" x14ac:dyDescent="0.2">
      <c r="A31" t="s">
        <v>189</v>
      </c>
      <c r="B31" s="60" t="s">
        <v>194</v>
      </c>
    </row>
    <row r="32" spans="1:10" x14ac:dyDescent="0.2">
      <c r="B32" s="60" t="s">
        <v>195</v>
      </c>
    </row>
    <row r="33" spans="2:7" x14ac:dyDescent="0.2">
      <c r="B33" s="60" t="s">
        <v>196</v>
      </c>
    </row>
    <row r="39" spans="2:7" x14ac:dyDescent="0.2">
      <c r="B39" t="s">
        <v>197</v>
      </c>
      <c r="C39" t="s">
        <v>198</v>
      </c>
      <c r="D39" t="s">
        <v>199</v>
      </c>
    </row>
    <row r="40" spans="2:7" x14ac:dyDescent="0.2">
      <c r="D40" t="s">
        <v>200</v>
      </c>
    </row>
    <row r="41" spans="2:7" x14ac:dyDescent="0.2">
      <c r="C41" t="s">
        <v>201</v>
      </c>
      <c r="D41" t="s">
        <v>203</v>
      </c>
      <c r="E41" t="s">
        <v>202</v>
      </c>
    </row>
    <row r="42" spans="2:7" x14ac:dyDescent="0.2">
      <c r="C42" t="s">
        <v>142</v>
      </c>
    </row>
    <row r="46" spans="2:7" ht="31" customHeight="1" x14ac:dyDescent="0.2">
      <c r="B46" s="74" t="s">
        <v>151</v>
      </c>
      <c r="C46" s="74" t="s">
        <v>152</v>
      </c>
      <c r="D46" s="73" t="s">
        <v>235</v>
      </c>
      <c r="E46" s="73" t="s">
        <v>155</v>
      </c>
      <c r="F46" s="74" t="s">
        <v>157</v>
      </c>
      <c r="G46" s="74" t="s">
        <v>227</v>
      </c>
    </row>
    <row r="47" spans="2:7" x14ac:dyDescent="0.2">
      <c r="B47" s="111" t="s">
        <v>237</v>
      </c>
      <c r="C47" s="111"/>
      <c r="D47" s="111"/>
      <c r="E47" s="111"/>
      <c r="F47" s="111"/>
      <c r="G47" s="111"/>
    </row>
    <row r="48" spans="2:7" x14ac:dyDescent="0.2">
      <c r="B48" s="71" t="s">
        <v>223</v>
      </c>
      <c r="C48" s="71" t="s">
        <v>159</v>
      </c>
      <c r="D48" s="71" t="s">
        <v>228</v>
      </c>
      <c r="E48" s="71" t="s">
        <v>229</v>
      </c>
      <c r="F48" s="71" t="s">
        <v>250</v>
      </c>
      <c r="G48" s="69" t="s">
        <v>258</v>
      </c>
    </row>
    <row r="49" spans="2:7" x14ac:dyDescent="0.2">
      <c r="B49" s="71" t="s">
        <v>205</v>
      </c>
      <c r="C49" s="71" t="s">
        <v>159</v>
      </c>
      <c r="D49" s="71" t="s">
        <v>228</v>
      </c>
      <c r="E49" s="71" t="s">
        <v>229</v>
      </c>
      <c r="F49" s="71" t="s">
        <v>250</v>
      </c>
      <c r="G49" s="69" t="s">
        <v>258</v>
      </c>
    </row>
    <row r="50" spans="2:7" x14ac:dyDescent="0.2">
      <c r="B50" s="71" t="s">
        <v>243</v>
      </c>
      <c r="C50" s="71" t="s">
        <v>170</v>
      </c>
      <c r="D50" s="71" t="s">
        <v>228</v>
      </c>
      <c r="E50" s="71" t="s">
        <v>229</v>
      </c>
      <c r="F50" s="71" t="s">
        <v>250</v>
      </c>
      <c r="G50" s="69" t="s">
        <v>258</v>
      </c>
    </row>
    <row r="51" spans="2:7" ht="39" x14ac:dyDescent="0.2">
      <c r="B51" s="71" t="s">
        <v>244</v>
      </c>
      <c r="C51" s="71" t="s">
        <v>170</v>
      </c>
      <c r="D51" s="71" t="s">
        <v>228</v>
      </c>
      <c r="E51" s="71" t="s">
        <v>229</v>
      </c>
      <c r="F51" s="71" t="s">
        <v>251</v>
      </c>
      <c r="G51" s="70" t="s">
        <v>263</v>
      </c>
    </row>
    <row r="52" spans="2:7" x14ac:dyDescent="0.2">
      <c r="B52" s="71" t="s">
        <v>225</v>
      </c>
      <c r="C52" s="71" t="s">
        <v>159</v>
      </c>
      <c r="D52" s="71" t="s">
        <v>228</v>
      </c>
      <c r="E52" s="71" t="s">
        <v>229</v>
      </c>
      <c r="F52" s="71" t="s">
        <v>252</v>
      </c>
      <c r="G52" s="69" t="s">
        <v>264</v>
      </c>
    </row>
    <row r="53" spans="2:7" x14ac:dyDescent="0.2">
      <c r="B53" s="71" t="s">
        <v>230</v>
      </c>
      <c r="C53" s="71" t="s">
        <v>159</v>
      </c>
      <c r="D53" s="71" t="s">
        <v>228</v>
      </c>
      <c r="E53" s="71" t="s">
        <v>229</v>
      </c>
      <c r="F53" s="71" t="s">
        <v>253</v>
      </c>
      <c r="G53" s="69" t="s">
        <v>265</v>
      </c>
    </row>
    <row r="54" spans="2:7" x14ac:dyDescent="0.2">
      <c r="B54" s="71" t="s">
        <v>242</v>
      </c>
      <c r="C54" s="71" t="s">
        <v>159</v>
      </c>
      <c r="D54" s="71" t="s">
        <v>228</v>
      </c>
      <c r="E54" s="71" t="s">
        <v>229</v>
      </c>
      <c r="F54" s="71" t="s">
        <v>254</v>
      </c>
      <c r="G54" s="69" t="s">
        <v>266</v>
      </c>
    </row>
    <row r="55" spans="2:7" x14ac:dyDescent="0.2">
      <c r="B55" s="71" t="s">
        <v>241</v>
      </c>
      <c r="C55" s="71" t="s">
        <v>159</v>
      </c>
      <c r="D55" s="71" t="s">
        <v>228</v>
      </c>
      <c r="E55" s="71" t="s">
        <v>229</v>
      </c>
      <c r="F55" s="71" t="s">
        <v>252</v>
      </c>
      <c r="G55" s="69" t="s">
        <v>267</v>
      </c>
    </row>
    <row r="56" spans="2:7" x14ac:dyDescent="0.2">
      <c r="B56" s="111" t="s">
        <v>238</v>
      </c>
      <c r="C56" s="111"/>
      <c r="D56" s="111"/>
      <c r="E56" s="111"/>
      <c r="F56" s="111"/>
      <c r="G56" s="111"/>
    </row>
    <row r="57" spans="2:7" x14ac:dyDescent="0.2">
      <c r="B57" s="71" t="s">
        <v>231</v>
      </c>
      <c r="C57" s="71" t="s">
        <v>170</v>
      </c>
      <c r="D57" s="71" t="s">
        <v>228</v>
      </c>
      <c r="E57" s="71" t="s">
        <v>229</v>
      </c>
      <c r="F57" s="71" t="s">
        <v>250</v>
      </c>
      <c r="G57" s="69" t="s">
        <v>261</v>
      </c>
    </row>
    <row r="58" spans="2:7" x14ac:dyDescent="0.2">
      <c r="B58" s="71" t="s">
        <v>204</v>
      </c>
      <c r="C58" s="71" t="s">
        <v>159</v>
      </c>
      <c r="D58" s="71" t="s">
        <v>228</v>
      </c>
      <c r="E58" s="71" t="s">
        <v>229</v>
      </c>
      <c r="F58" s="71" t="s">
        <v>255</v>
      </c>
      <c r="G58" s="69" t="s">
        <v>262</v>
      </c>
    </row>
    <row r="59" spans="2:7" x14ac:dyDescent="0.2">
      <c r="B59" s="111" t="s">
        <v>232</v>
      </c>
      <c r="C59" s="111"/>
      <c r="D59" s="111"/>
      <c r="E59" s="111"/>
      <c r="F59" s="111"/>
      <c r="G59" s="111"/>
    </row>
    <row r="60" spans="2:7" x14ac:dyDescent="0.2">
      <c r="B60" s="71" t="s">
        <v>245</v>
      </c>
      <c r="C60" s="71" t="s">
        <v>210</v>
      </c>
      <c r="D60" s="71" t="s">
        <v>233</v>
      </c>
      <c r="E60" s="71" t="s">
        <v>229</v>
      </c>
      <c r="F60" s="71" t="s">
        <v>256</v>
      </c>
      <c r="G60" s="69" t="s">
        <v>260</v>
      </c>
    </row>
    <row r="61" spans="2:7" x14ac:dyDescent="0.2">
      <c r="B61" s="111" t="s">
        <v>179</v>
      </c>
      <c r="C61" s="111"/>
      <c r="D61" s="111"/>
      <c r="E61" s="111"/>
      <c r="F61" s="111"/>
      <c r="G61" s="111"/>
    </row>
    <row r="62" spans="2:7" x14ac:dyDescent="0.2">
      <c r="B62" s="71" t="s">
        <v>218</v>
      </c>
      <c r="C62" s="71" t="s">
        <v>178</v>
      </c>
      <c r="D62" s="71" t="s">
        <v>233</v>
      </c>
      <c r="E62" s="71" t="s">
        <v>234</v>
      </c>
      <c r="F62" s="71" t="s">
        <v>257</v>
      </c>
      <c r="G62" s="69" t="s">
        <v>259</v>
      </c>
    </row>
    <row r="63" spans="2:7" ht="48" customHeight="1" x14ac:dyDescent="0.2"/>
    <row r="64" spans="2:7" ht="16" customHeight="1" x14ac:dyDescent="0.2">
      <c r="B64" s="74" t="s">
        <v>151</v>
      </c>
      <c r="C64" s="74" t="s">
        <v>152</v>
      </c>
      <c r="D64" s="73" t="s">
        <v>235</v>
      </c>
      <c r="E64" s="73" t="s">
        <v>155</v>
      </c>
      <c r="F64" s="74" t="s">
        <v>157</v>
      </c>
      <c r="G64" s="74" t="s">
        <v>227</v>
      </c>
    </row>
    <row r="65" spans="2:14" x14ac:dyDescent="0.2">
      <c r="B65" s="111" t="s">
        <v>237</v>
      </c>
      <c r="C65" s="111"/>
      <c r="D65" s="111"/>
      <c r="E65" s="111"/>
      <c r="F65" s="111"/>
      <c r="G65" s="111"/>
    </row>
    <row r="66" spans="2:14" x14ac:dyDescent="0.2">
      <c r="B66" s="71" t="s">
        <v>223</v>
      </c>
      <c r="C66" s="71" t="s">
        <v>159</v>
      </c>
      <c r="D66" s="71" t="s">
        <v>228</v>
      </c>
      <c r="E66" s="71" t="s">
        <v>229</v>
      </c>
      <c r="F66" s="71" t="s">
        <v>250</v>
      </c>
      <c r="G66" s="69" t="s">
        <v>258</v>
      </c>
    </row>
    <row r="67" spans="2:14" x14ac:dyDescent="0.2">
      <c r="B67" s="71" t="s">
        <v>205</v>
      </c>
      <c r="C67" s="71" t="s">
        <v>159</v>
      </c>
      <c r="D67" s="71" t="s">
        <v>228</v>
      </c>
      <c r="E67" s="71" t="s">
        <v>229</v>
      </c>
      <c r="F67" s="71" t="s">
        <v>250</v>
      </c>
      <c r="G67" s="69" t="s">
        <v>258</v>
      </c>
    </row>
    <row r="68" spans="2:14" x14ac:dyDescent="0.2">
      <c r="B68" s="71" t="s">
        <v>243</v>
      </c>
      <c r="C68" s="71" t="s">
        <v>170</v>
      </c>
      <c r="D68" s="71" t="s">
        <v>228</v>
      </c>
      <c r="E68" s="71" t="s">
        <v>229</v>
      </c>
      <c r="F68" s="71" t="s">
        <v>250</v>
      </c>
      <c r="G68" s="69" t="s">
        <v>258</v>
      </c>
    </row>
    <row r="69" spans="2:14" ht="39" x14ac:dyDescent="0.2">
      <c r="B69" s="71" t="s">
        <v>244</v>
      </c>
      <c r="C69" s="71" t="s">
        <v>170</v>
      </c>
      <c r="D69" s="71" t="s">
        <v>228</v>
      </c>
      <c r="E69" s="71" t="s">
        <v>229</v>
      </c>
      <c r="F69" s="71" t="s">
        <v>251</v>
      </c>
      <c r="G69" s="70" t="s">
        <v>263</v>
      </c>
    </row>
    <row r="70" spans="2:14" x14ac:dyDescent="0.2">
      <c r="B70" s="71" t="s">
        <v>225</v>
      </c>
      <c r="C70" s="71" t="s">
        <v>159</v>
      </c>
      <c r="D70" s="71" t="s">
        <v>228</v>
      </c>
      <c r="E70" s="71" t="s">
        <v>229</v>
      </c>
      <c r="F70" s="71" t="s">
        <v>252</v>
      </c>
      <c r="G70" s="69" t="s">
        <v>264</v>
      </c>
    </row>
    <row r="71" spans="2:14" x14ac:dyDescent="0.2">
      <c r="B71" s="71" t="s">
        <v>230</v>
      </c>
      <c r="C71" s="71" t="s">
        <v>159</v>
      </c>
      <c r="D71" s="71" t="s">
        <v>228</v>
      </c>
      <c r="E71" s="71" t="s">
        <v>229</v>
      </c>
      <c r="F71" s="71" t="s">
        <v>253</v>
      </c>
      <c r="G71" s="69" t="s">
        <v>265</v>
      </c>
    </row>
    <row r="72" spans="2:14" x14ac:dyDescent="0.2">
      <c r="B72" s="71" t="s">
        <v>242</v>
      </c>
      <c r="C72" s="71" t="s">
        <v>159</v>
      </c>
      <c r="D72" s="71" t="s">
        <v>228</v>
      </c>
      <c r="E72" s="71" t="s">
        <v>229</v>
      </c>
      <c r="F72" s="71" t="s">
        <v>254</v>
      </c>
      <c r="G72" s="69" t="s">
        <v>266</v>
      </c>
      <c r="J72" s="122" t="s">
        <v>247</v>
      </c>
      <c r="K72" s="122"/>
      <c r="L72" s="122"/>
      <c r="M72" s="122"/>
      <c r="N72" s="122"/>
    </row>
    <row r="73" spans="2:14" ht="26" x14ac:dyDescent="0.2">
      <c r="B73" s="71" t="s">
        <v>241</v>
      </c>
      <c r="C73" s="71" t="s">
        <v>159</v>
      </c>
      <c r="D73" s="71" t="s">
        <v>228</v>
      </c>
      <c r="E73" s="71" t="s">
        <v>229</v>
      </c>
      <c r="F73" s="71" t="s">
        <v>252</v>
      </c>
      <c r="G73" s="69" t="s">
        <v>267</v>
      </c>
      <c r="J73" s="123"/>
      <c r="K73" s="124"/>
      <c r="L73" s="125"/>
      <c r="M73" s="72" t="s">
        <v>246</v>
      </c>
      <c r="N73" s="72" t="s">
        <v>240</v>
      </c>
    </row>
    <row r="74" spans="2:14" x14ac:dyDescent="0.2">
      <c r="B74" s="111" t="s">
        <v>238</v>
      </c>
      <c r="C74" s="111"/>
      <c r="D74" s="111"/>
      <c r="E74" s="111"/>
      <c r="F74" s="111"/>
      <c r="G74" s="111"/>
      <c r="J74" s="119" t="s">
        <v>218</v>
      </c>
      <c r="K74" s="73" t="s">
        <v>152</v>
      </c>
      <c r="L74" s="70" t="s">
        <v>178</v>
      </c>
      <c r="M74" s="117" t="s">
        <v>270</v>
      </c>
      <c r="N74" s="126" t="s">
        <v>272</v>
      </c>
    </row>
    <row r="75" spans="2:14" x14ac:dyDescent="0.2">
      <c r="B75" s="71" t="s">
        <v>231</v>
      </c>
      <c r="C75" s="71" t="s">
        <v>170</v>
      </c>
      <c r="D75" s="71" t="s">
        <v>228</v>
      </c>
      <c r="E75" s="71" t="s">
        <v>229</v>
      </c>
      <c r="F75" s="71" t="s">
        <v>250</v>
      </c>
      <c r="G75" s="69" t="s">
        <v>261</v>
      </c>
      <c r="J75" s="120"/>
      <c r="K75" s="73" t="s">
        <v>235</v>
      </c>
      <c r="L75" s="70" t="s">
        <v>233</v>
      </c>
      <c r="M75" s="118"/>
      <c r="N75" s="127"/>
    </row>
    <row r="76" spans="2:14" x14ac:dyDescent="0.2">
      <c r="B76" s="71" t="s">
        <v>204</v>
      </c>
      <c r="C76" s="71" t="s">
        <v>159</v>
      </c>
      <c r="D76" s="71" t="s">
        <v>228</v>
      </c>
      <c r="E76" s="71" t="s">
        <v>229</v>
      </c>
      <c r="F76" s="71" t="s">
        <v>255</v>
      </c>
      <c r="G76" s="69" t="s">
        <v>262</v>
      </c>
      <c r="J76" s="120"/>
      <c r="K76" s="73" t="s">
        <v>155</v>
      </c>
      <c r="L76" s="70" t="s">
        <v>249</v>
      </c>
      <c r="M76" s="118"/>
      <c r="N76" s="127"/>
    </row>
    <row r="77" spans="2:14" x14ac:dyDescent="0.2">
      <c r="B77" s="111" t="s">
        <v>232</v>
      </c>
      <c r="C77" s="111"/>
      <c r="D77" s="111"/>
      <c r="E77" s="111"/>
      <c r="F77" s="111"/>
      <c r="G77" s="111"/>
      <c r="J77" s="120"/>
      <c r="K77" s="73" t="s">
        <v>157</v>
      </c>
      <c r="L77" s="70" t="s">
        <v>257</v>
      </c>
      <c r="M77" s="118"/>
      <c r="N77" s="127"/>
    </row>
    <row r="78" spans="2:14" x14ac:dyDescent="0.2">
      <c r="B78" s="71" t="s">
        <v>245</v>
      </c>
      <c r="C78" s="71" t="s">
        <v>210</v>
      </c>
      <c r="D78" s="71" t="s">
        <v>233</v>
      </c>
      <c r="E78" s="71" t="s">
        <v>229</v>
      </c>
      <c r="F78" s="71" t="s">
        <v>256</v>
      </c>
      <c r="G78" s="69" t="s">
        <v>260</v>
      </c>
      <c r="J78" s="121"/>
      <c r="K78" s="73" t="s">
        <v>227</v>
      </c>
      <c r="L78" s="70" t="s">
        <v>259</v>
      </c>
      <c r="M78" s="118"/>
      <c r="N78" s="127"/>
    </row>
    <row r="79" spans="2:14" x14ac:dyDescent="0.2">
      <c r="B79" s="111" t="s">
        <v>179</v>
      </c>
      <c r="C79" s="111"/>
      <c r="D79" s="111"/>
      <c r="E79" s="111"/>
      <c r="F79" s="111"/>
      <c r="G79" s="111"/>
      <c r="J79" s="119" t="s">
        <v>239</v>
      </c>
      <c r="K79" s="73" t="s">
        <v>152</v>
      </c>
      <c r="L79" s="70" t="s">
        <v>236</v>
      </c>
      <c r="M79" s="117" t="s">
        <v>271</v>
      </c>
      <c r="N79" s="126" t="s">
        <v>273</v>
      </c>
    </row>
    <row r="80" spans="2:14" x14ac:dyDescent="0.2">
      <c r="B80" s="71" t="s">
        <v>218</v>
      </c>
      <c r="C80" s="71" t="s">
        <v>178</v>
      </c>
      <c r="D80" s="71" t="s">
        <v>233</v>
      </c>
      <c r="E80" s="71" t="s">
        <v>234</v>
      </c>
      <c r="F80" s="71" t="s">
        <v>257</v>
      </c>
      <c r="G80" s="69" t="s">
        <v>259</v>
      </c>
      <c r="J80" s="120"/>
      <c r="K80" s="73" t="s">
        <v>235</v>
      </c>
      <c r="L80" s="70" t="s">
        <v>228</v>
      </c>
      <c r="M80" s="118"/>
      <c r="N80" s="127"/>
    </row>
    <row r="81" spans="10:14" x14ac:dyDescent="0.2">
      <c r="J81" s="120"/>
      <c r="K81" s="73" t="s">
        <v>155</v>
      </c>
      <c r="L81" s="70" t="s">
        <v>248</v>
      </c>
      <c r="M81" s="118"/>
      <c r="N81" s="127"/>
    </row>
    <row r="82" spans="10:14" x14ac:dyDescent="0.2">
      <c r="J82" s="120"/>
      <c r="K82" s="73" t="s">
        <v>157</v>
      </c>
      <c r="L82" s="70" t="s">
        <v>268</v>
      </c>
      <c r="M82" s="118"/>
      <c r="N82" s="127"/>
    </row>
    <row r="83" spans="10:14" x14ac:dyDescent="0.2">
      <c r="J83" s="121"/>
      <c r="K83" s="73" t="s">
        <v>227</v>
      </c>
      <c r="L83" s="70" t="s">
        <v>269</v>
      </c>
      <c r="M83" s="118"/>
      <c r="N83" s="127"/>
    </row>
  </sheetData>
  <mergeCells count="58">
    <mergeCell ref="J3:J4"/>
    <mergeCell ref="J8:J10"/>
    <mergeCell ref="H3:H4"/>
    <mergeCell ref="H8:H10"/>
    <mergeCell ref="H11:H12"/>
    <mergeCell ref="J11:J12"/>
    <mergeCell ref="M79:M83"/>
    <mergeCell ref="J79:J83"/>
    <mergeCell ref="J21:J22"/>
    <mergeCell ref="J72:N72"/>
    <mergeCell ref="J74:J78"/>
    <mergeCell ref="J73:L73"/>
    <mergeCell ref="N74:N78"/>
    <mergeCell ref="N79:N83"/>
    <mergeCell ref="M74:M78"/>
    <mergeCell ref="C3:C4"/>
    <mergeCell ref="D3:D4"/>
    <mergeCell ref="E3:E4"/>
    <mergeCell ref="F3:F4"/>
    <mergeCell ref="G3:G4"/>
    <mergeCell ref="C8:C10"/>
    <mergeCell ref="D8:D10"/>
    <mergeCell ref="E8:E10"/>
    <mergeCell ref="F8:F10"/>
    <mergeCell ref="G8:G10"/>
    <mergeCell ref="B77:G77"/>
    <mergeCell ref="B79:G79"/>
    <mergeCell ref="H21:H22"/>
    <mergeCell ref="B47:G47"/>
    <mergeCell ref="B56:G56"/>
    <mergeCell ref="B59:G59"/>
    <mergeCell ref="B61:G61"/>
    <mergeCell ref="C21:C22"/>
    <mergeCell ref="D21:D22"/>
    <mergeCell ref="E21:E22"/>
    <mergeCell ref="F21:F22"/>
    <mergeCell ref="G21:G22"/>
    <mergeCell ref="J13:J15"/>
    <mergeCell ref="J18:J19"/>
    <mergeCell ref="B65:G65"/>
    <mergeCell ref="B74:G74"/>
    <mergeCell ref="C13:C15"/>
    <mergeCell ref="D13:D15"/>
    <mergeCell ref="E13:E15"/>
    <mergeCell ref="F13:F15"/>
    <mergeCell ref="G13:G15"/>
    <mergeCell ref="G18:G19"/>
    <mergeCell ref="H13:H15"/>
    <mergeCell ref="H18:H19"/>
    <mergeCell ref="C18:C19"/>
    <mergeCell ref="D18:D19"/>
    <mergeCell ref="E18:E19"/>
    <mergeCell ref="F18:F19"/>
    <mergeCell ref="C11:C12"/>
    <mergeCell ref="D11:D12"/>
    <mergeCell ref="E11:E12"/>
    <mergeCell ref="F11:F12"/>
    <mergeCell ref="G11:G12"/>
  </mergeCell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8DE70-0320-C24D-A599-A72CB868F653}">
  <dimension ref="B1:N36"/>
  <sheetViews>
    <sheetView topLeftCell="B1" zoomScale="80" zoomScaleNormal="80" workbookViewId="0">
      <selection activeCell="J18" sqref="J18"/>
    </sheetView>
  </sheetViews>
  <sheetFormatPr baseColWidth="10" defaultRowHeight="16" x14ac:dyDescent="0.2"/>
  <cols>
    <col min="2" max="2" width="31" customWidth="1"/>
    <col min="3" max="3" width="23.33203125" customWidth="1"/>
    <col min="4" max="4" width="41.5" customWidth="1"/>
    <col min="5" max="5" width="15.33203125" customWidth="1"/>
    <col min="6" max="6" width="17" customWidth="1"/>
    <col min="7" max="7" width="32.83203125" customWidth="1"/>
    <col min="8" max="8" width="28.83203125" customWidth="1"/>
    <col min="10" max="10" width="23.83203125" customWidth="1"/>
    <col min="11" max="11" width="21.33203125" customWidth="1"/>
    <col min="12" max="12" width="19.33203125" customWidth="1"/>
    <col min="13" max="13" width="25.5" customWidth="1"/>
    <col min="14" max="14" width="31.6640625" customWidth="1"/>
  </cols>
  <sheetData>
    <row r="1" spans="2:8" ht="17" thickBot="1" x14ac:dyDescent="0.25"/>
    <row r="2" spans="2:8" ht="52" thickBot="1" x14ac:dyDescent="0.25">
      <c r="B2" s="78" t="s">
        <v>151</v>
      </c>
      <c r="C2" s="78" t="s">
        <v>295</v>
      </c>
      <c r="D2" s="78" t="s">
        <v>296</v>
      </c>
      <c r="E2" s="78" t="s">
        <v>297</v>
      </c>
      <c r="F2" s="78" t="s">
        <v>298</v>
      </c>
      <c r="G2" s="78" t="s">
        <v>299</v>
      </c>
      <c r="H2" s="78" t="s">
        <v>300</v>
      </c>
    </row>
    <row r="3" spans="2:8" ht="17" thickBot="1" x14ac:dyDescent="0.25">
      <c r="B3" s="128" t="s">
        <v>301</v>
      </c>
      <c r="C3" s="129"/>
      <c r="D3" s="129"/>
      <c r="E3" s="129"/>
      <c r="F3" s="129"/>
      <c r="G3" s="129"/>
      <c r="H3" s="130"/>
    </row>
    <row r="4" spans="2:8" ht="18" thickBot="1" x14ac:dyDescent="0.25">
      <c r="B4" s="81" t="s">
        <v>242</v>
      </c>
      <c r="C4" s="81" t="s">
        <v>302</v>
      </c>
      <c r="D4" s="81" t="s">
        <v>303</v>
      </c>
      <c r="E4" s="81" t="s">
        <v>307</v>
      </c>
      <c r="F4" s="81" t="s">
        <v>309</v>
      </c>
      <c r="G4" s="81" t="s">
        <v>354</v>
      </c>
      <c r="H4" s="80"/>
    </row>
    <row r="5" spans="2:8" ht="18" thickBot="1" x14ac:dyDescent="0.25">
      <c r="B5" s="81" t="s">
        <v>243</v>
      </c>
      <c r="C5" s="81" t="s">
        <v>306</v>
      </c>
      <c r="D5" s="81" t="s">
        <v>303</v>
      </c>
      <c r="E5" s="81" t="s">
        <v>304</v>
      </c>
      <c r="F5" s="81" t="s">
        <v>309</v>
      </c>
      <c r="G5" s="81" t="s">
        <v>305</v>
      </c>
      <c r="H5" s="80"/>
    </row>
    <row r="6" spans="2:8" ht="18" thickBot="1" x14ac:dyDescent="0.25">
      <c r="B6" s="81" t="s">
        <v>244</v>
      </c>
      <c r="C6" s="81" t="s">
        <v>306</v>
      </c>
      <c r="D6" s="81" t="s">
        <v>303</v>
      </c>
      <c r="E6" s="81" t="s">
        <v>308</v>
      </c>
      <c r="F6" s="81" t="s">
        <v>309</v>
      </c>
      <c r="G6" s="81" t="s">
        <v>353</v>
      </c>
      <c r="H6" s="81" t="s">
        <v>355</v>
      </c>
    </row>
    <row r="7" spans="2:8" ht="35" thickBot="1" x14ac:dyDescent="0.25">
      <c r="B7" s="81" t="s">
        <v>230</v>
      </c>
      <c r="C7" s="81" t="s">
        <v>302</v>
      </c>
      <c r="D7" s="81" t="s">
        <v>303</v>
      </c>
      <c r="E7" s="81" t="s">
        <v>314</v>
      </c>
      <c r="F7" s="81" t="s">
        <v>309</v>
      </c>
      <c r="G7" s="81" t="s">
        <v>357</v>
      </c>
      <c r="H7" s="80"/>
    </row>
    <row r="8" spans="2:8" ht="18" thickBot="1" x14ac:dyDescent="0.25">
      <c r="B8" s="81" t="s">
        <v>223</v>
      </c>
      <c r="C8" s="81" t="s">
        <v>302</v>
      </c>
      <c r="D8" s="81" t="s">
        <v>303</v>
      </c>
      <c r="E8" s="81" t="s">
        <v>304</v>
      </c>
      <c r="F8" s="81" t="s">
        <v>309</v>
      </c>
      <c r="G8" s="81" t="s">
        <v>305</v>
      </c>
      <c r="H8" s="80"/>
    </row>
    <row r="9" spans="2:8" ht="18" thickBot="1" x14ac:dyDescent="0.25">
      <c r="B9" s="81" t="s">
        <v>205</v>
      </c>
      <c r="C9" s="81" t="s">
        <v>302</v>
      </c>
      <c r="D9" s="81" t="s">
        <v>303</v>
      </c>
      <c r="E9" s="81" t="s">
        <v>304</v>
      </c>
      <c r="F9" s="81" t="s">
        <v>309</v>
      </c>
      <c r="G9" s="81" t="s">
        <v>305</v>
      </c>
      <c r="H9" s="80"/>
    </row>
    <row r="10" spans="2:8" ht="17" thickBot="1" x14ac:dyDescent="0.25">
      <c r="B10" s="128" t="s">
        <v>310</v>
      </c>
      <c r="C10" s="129"/>
      <c r="D10" s="129"/>
      <c r="E10" s="129"/>
      <c r="F10" s="129"/>
      <c r="G10" s="129"/>
      <c r="H10" s="130"/>
    </row>
    <row r="11" spans="2:8" ht="18" thickBot="1" x14ac:dyDescent="0.25">
      <c r="B11" s="81" t="s">
        <v>241</v>
      </c>
      <c r="C11" s="81" t="s">
        <v>302</v>
      </c>
      <c r="D11" s="81" t="s">
        <v>303</v>
      </c>
      <c r="E11" s="81" t="s">
        <v>312</v>
      </c>
      <c r="F11" s="81" t="s">
        <v>309</v>
      </c>
      <c r="G11" s="80"/>
      <c r="H11" s="81" t="s">
        <v>356</v>
      </c>
    </row>
    <row r="12" spans="2:8" ht="18" thickBot="1" x14ac:dyDescent="0.25">
      <c r="B12" s="81" t="s">
        <v>245</v>
      </c>
      <c r="C12" s="81" t="s">
        <v>315</v>
      </c>
      <c r="D12" s="81" t="s">
        <v>303</v>
      </c>
      <c r="E12" s="81" t="s">
        <v>316</v>
      </c>
      <c r="F12" s="81" t="s">
        <v>309</v>
      </c>
      <c r="G12" s="80"/>
      <c r="H12" s="81" t="s">
        <v>359</v>
      </c>
    </row>
    <row r="13" spans="2:8" ht="17" customHeight="1" thickBot="1" x14ac:dyDescent="0.25">
      <c r="B13" s="81" t="s">
        <v>204</v>
      </c>
      <c r="C13" s="81" t="s">
        <v>302</v>
      </c>
      <c r="D13" s="81" t="s">
        <v>317</v>
      </c>
      <c r="E13" s="81" t="s">
        <v>319</v>
      </c>
      <c r="F13" s="81" t="s">
        <v>309</v>
      </c>
      <c r="G13" s="80"/>
      <c r="H13" s="82" t="s">
        <v>358</v>
      </c>
    </row>
    <row r="14" spans="2:8" ht="18" thickBot="1" x14ac:dyDescent="0.25">
      <c r="B14" s="81" t="s">
        <v>225</v>
      </c>
      <c r="C14" s="81" t="s">
        <v>302</v>
      </c>
      <c r="D14" s="81" t="s">
        <v>303</v>
      </c>
      <c r="E14" s="81" t="s">
        <v>312</v>
      </c>
      <c r="F14" s="81" t="s">
        <v>309</v>
      </c>
      <c r="G14" s="80"/>
      <c r="H14" s="81" t="s">
        <v>305</v>
      </c>
    </row>
    <row r="15" spans="2:8" ht="18" thickBot="1" x14ac:dyDescent="0.25">
      <c r="B15" s="81" t="s">
        <v>231</v>
      </c>
      <c r="C15" s="81" t="s">
        <v>306</v>
      </c>
      <c r="D15" s="81" t="s">
        <v>317</v>
      </c>
      <c r="E15" s="81" t="s">
        <v>304</v>
      </c>
      <c r="F15" s="81" t="s">
        <v>309</v>
      </c>
      <c r="G15" s="81" t="s">
        <v>313</v>
      </c>
      <c r="H15" s="81" t="s">
        <v>318</v>
      </c>
    </row>
    <row r="16" spans="2:8" ht="17" thickBot="1" x14ac:dyDescent="0.25">
      <c r="B16" s="128" t="s">
        <v>320</v>
      </c>
      <c r="C16" s="129"/>
      <c r="D16" s="129"/>
      <c r="E16" s="129"/>
      <c r="F16" s="129"/>
      <c r="G16" s="129"/>
      <c r="H16" s="130"/>
    </row>
    <row r="17" spans="2:14" ht="35" thickBot="1" x14ac:dyDescent="0.25">
      <c r="B17" s="81" t="s">
        <v>218</v>
      </c>
      <c r="C17" s="81" t="s">
        <v>321</v>
      </c>
      <c r="D17" s="81" t="s">
        <v>363</v>
      </c>
      <c r="E17" s="81" t="s">
        <v>322</v>
      </c>
      <c r="F17" s="81" t="s">
        <v>323</v>
      </c>
      <c r="G17" s="80"/>
      <c r="H17" s="81" t="s">
        <v>360</v>
      </c>
    </row>
    <row r="18" spans="2:14" ht="74" customHeight="1" thickBot="1" x14ac:dyDescent="0.25">
      <c r="B18" s="79" t="s">
        <v>324</v>
      </c>
      <c r="C18" s="81" t="s">
        <v>325</v>
      </c>
      <c r="D18" s="81" t="s">
        <v>364</v>
      </c>
      <c r="E18" s="81" t="s">
        <v>268</v>
      </c>
      <c r="F18" s="81" t="s">
        <v>323</v>
      </c>
      <c r="G18" s="81" t="s">
        <v>365</v>
      </c>
      <c r="H18" s="81" t="s">
        <v>361</v>
      </c>
    </row>
    <row r="19" spans="2:14" ht="17" thickBot="1" x14ac:dyDescent="0.25"/>
    <row r="20" spans="2:14" ht="18" thickBot="1" x14ac:dyDescent="0.25">
      <c r="B20" s="74"/>
      <c r="C20" s="74"/>
      <c r="D20" s="73"/>
      <c r="E20" s="73"/>
      <c r="F20" s="74"/>
      <c r="G20" s="74"/>
      <c r="J20" s="75" t="s">
        <v>326</v>
      </c>
      <c r="K20" s="75" t="s">
        <v>207</v>
      </c>
      <c r="L20" s="75" t="s">
        <v>311</v>
      </c>
      <c r="M20" s="75" t="s">
        <v>218</v>
      </c>
      <c r="N20" s="75" t="s">
        <v>324</v>
      </c>
    </row>
    <row r="21" spans="2:14" ht="18" thickBot="1" x14ac:dyDescent="0.25">
      <c r="B21" s="111"/>
      <c r="C21" s="111"/>
      <c r="D21" s="111"/>
      <c r="E21" s="111"/>
      <c r="F21" s="111"/>
      <c r="G21" s="111"/>
      <c r="J21" s="77" t="s">
        <v>327</v>
      </c>
      <c r="K21" s="77" t="s">
        <v>328</v>
      </c>
      <c r="L21" s="77" t="s">
        <v>328</v>
      </c>
      <c r="M21" s="77" t="s">
        <v>329</v>
      </c>
      <c r="N21" s="77" t="s">
        <v>329</v>
      </c>
    </row>
    <row r="22" spans="2:14" ht="35" thickBot="1" x14ac:dyDescent="0.25">
      <c r="B22" s="69"/>
      <c r="C22" s="69"/>
      <c r="D22" s="69"/>
      <c r="E22" s="69"/>
      <c r="F22" s="69"/>
      <c r="G22" s="69"/>
      <c r="J22" s="77" t="s">
        <v>330</v>
      </c>
      <c r="K22" s="77" t="s">
        <v>331</v>
      </c>
      <c r="L22" s="77" t="s">
        <v>332</v>
      </c>
      <c r="M22" s="77" t="s">
        <v>333</v>
      </c>
      <c r="N22" s="77" t="s">
        <v>334</v>
      </c>
    </row>
    <row r="23" spans="2:14" ht="35" thickBot="1" x14ac:dyDescent="0.25">
      <c r="B23" s="69"/>
      <c r="C23" s="69"/>
      <c r="D23" s="69"/>
      <c r="E23" s="69"/>
      <c r="F23" s="69"/>
      <c r="G23" s="69"/>
      <c r="J23" s="77" t="s">
        <v>335</v>
      </c>
      <c r="K23" s="77" t="s">
        <v>309</v>
      </c>
      <c r="L23" s="77" t="s">
        <v>309</v>
      </c>
      <c r="M23" s="77" t="s">
        <v>323</v>
      </c>
      <c r="N23" s="77" t="s">
        <v>323</v>
      </c>
    </row>
    <row r="24" spans="2:14" ht="52" thickBot="1" x14ac:dyDescent="0.25">
      <c r="B24" s="69"/>
      <c r="C24" s="69"/>
      <c r="D24" s="69"/>
      <c r="E24" s="69"/>
      <c r="F24" s="69"/>
      <c r="G24" s="69"/>
      <c r="J24" s="77" t="s">
        <v>336</v>
      </c>
      <c r="K24" s="77" t="s">
        <v>309</v>
      </c>
      <c r="L24" s="77" t="s">
        <v>309</v>
      </c>
      <c r="M24" s="77" t="s">
        <v>337</v>
      </c>
      <c r="N24" s="77" t="s">
        <v>362</v>
      </c>
    </row>
    <row r="25" spans="2:14" ht="35" thickBot="1" x14ac:dyDescent="0.25">
      <c r="B25" s="69"/>
      <c r="C25" s="69"/>
      <c r="D25" s="69"/>
      <c r="E25" s="69"/>
      <c r="F25" s="69"/>
      <c r="G25" s="70"/>
      <c r="J25" s="77" t="s">
        <v>338</v>
      </c>
      <c r="K25" s="77" t="s">
        <v>339</v>
      </c>
      <c r="L25" s="77" t="s">
        <v>339</v>
      </c>
      <c r="M25" s="77" t="s">
        <v>340</v>
      </c>
      <c r="N25" s="77" t="s">
        <v>341</v>
      </c>
    </row>
    <row r="26" spans="2:14" ht="35" thickBot="1" x14ac:dyDescent="0.25">
      <c r="B26" s="71"/>
      <c r="C26" s="71"/>
      <c r="D26" s="71"/>
      <c r="E26" s="71"/>
      <c r="F26" s="71"/>
      <c r="G26" s="69"/>
      <c r="J26" s="77" t="s">
        <v>342</v>
      </c>
      <c r="K26" s="77" t="s">
        <v>343</v>
      </c>
      <c r="L26" s="77" t="s">
        <v>343</v>
      </c>
      <c r="M26" s="77" t="s">
        <v>344</v>
      </c>
      <c r="N26" s="77" t="s">
        <v>345</v>
      </c>
    </row>
    <row r="27" spans="2:14" ht="35" thickBot="1" x14ac:dyDescent="0.25">
      <c r="B27" s="71"/>
      <c r="C27" s="71"/>
      <c r="D27" s="71"/>
      <c r="E27" s="71"/>
      <c r="F27" s="71"/>
      <c r="G27" s="69"/>
      <c r="J27" s="77" t="s">
        <v>346</v>
      </c>
      <c r="K27" s="77" t="s">
        <v>309</v>
      </c>
      <c r="L27" s="77" t="s">
        <v>309</v>
      </c>
      <c r="M27" s="77" t="s">
        <v>347</v>
      </c>
      <c r="N27" s="76" t="s">
        <v>348</v>
      </c>
    </row>
    <row r="28" spans="2:14" ht="35" thickBot="1" x14ac:dyDescent="0.25">
      <c r="B28" s="69"/>
      <c r="C28" s="69"/>
      <c r="D28" s="69"/>
      <c r="E28" s="69"/>
      <c r="F28" s="69"/>
      <c r="G28" s="69"/>
      <c r="J28" s="77" t="s">
        <v>349</v>
      </c>
      <c r="K28" s="77" t="s">
        <v>299</v>
      </c>
      <c r="L28" s="77" t="s">
        <v>350</v>
      </c>
      <c r="M28" s="77" t="s">
        <v>351</v>
      </c>
      <c r="N28" s="77" t="s">
        <v>352</v>
      </c>
    </row>
    <row r="29" spans="2:14" x14ac:dyDescent="0.2">
      <c r="B29" s="71"/>
      <c r="C29" s="71"/>
      <c r="D29" s="71"/>
      <c r="E29" s="71"/>
      <c r="F29" s="71"/>
      <c r="G29" s="69"/>
    </row>
    <row r="30" spans="2:14" x14ac:dyDescent="0.2">
      <c r="B30" s="111"/>
      <c r="C30" s="111"/>
      <c r="D30" s="111"/>
      <c r="E30" s="111"/>
      <c r="F30" s="111"/>
      <c r="G30" s="111"/>
    </row>
    <row r="31" spans="2:14" x14ac:dyDescent="0.2">
      <c r="B31" s="71"/>
      <c r="C31" s="71"/>
      <c r="D31" s="71"/>
      <c r="E31" s="71"/>
      <c r="F31" s="71"/>
      <c r="G31" s="69"/>
    </row>
    <row r="32" spans="2:14" x14ac:dyDescent="0.2">
      <c r="B32" s="71"/>
      <c r="C32" s="71"/>
      <c r="D32" s="71"/>
      <c r="E32" s="71"/>
      <c r="F32" s="71"/>
      <c r="G32" s="69"/>
    </row>
    <row r="33" spans="2:7" x14ac:dyDescent="0.2">
      <c r="B33" s="111"/>
      <c r="C33" s="111"/>
      <c r="D33" s="111"/>
      <c r="E33" s="111"/>
      <c r="F33" s="111"/>
      <c r="G33" s="111"/>
    </row>
    <row r="34" spans="2:7" x14ac:dyDescent="0.2">
      <c r="B34" s="71"/>
      <c r="C34" s="71"/>
      <c r="D34" s="71"/>
      <c r="E34" s="71"/>
      <c r="F34" s="71"/>
      <c r="G34" s="69"/>
    </row>
    <row r="35" spans="2:7" x14ac:dyDescent="0.2">
      <c r="B35" s="111"/>
      <c r="C35" s="111"/>
      <c r="D35" s="111"/>
      <c r="E35" s="111"/>
      <c r="F35" s="111"/>
      <c r="G35" s="111"/>
    </row>
    <row r="36" spans="2:7" x14ac:dyDescent="0.2">
      <c r="B36" s="71"/>
      <c r="C36" s="71"/>
      <c r="D36" s="71"/>
      <c r="E36" s="71"/>
      <c r="F36" s="71"/>
      <c r="G36" s="69"/>
    </row>
  </sheetData>
  <mergeCells count="7">
    <mergeCell ref="B3:H3"/>
    <mergeCell ref="B10:H10"/>
    <mergeCell ref="B16:H16"/>
    <mergeCell ref="B35:G35"/>
    <mergeCell ref="B21:G21"/>
    <mergeCell ref="B30:G30"/>
    <mergeCell ref="B33:G3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2F086-2EC3-654C-9C1C-96CC64B2AE05}">
  <dimension ref="B1:G10"/>
  <sheetViews>
    <sheetView workbookViewId="0">
      <selection activeCell="E17" sqref="E17"/>
    </sheetView>
  </sheetViews>
  <sheetFormatPr baseColWidth="10" defaultRowHeight="16" x14ac:dyDescent="0.2"/>
  <cols>
    <col min="3" max="4" width="36.6640625" bestFit="1" customWidth="1"/>
    <col min="5" max="5" width="64.83203125" customWidth="1"/>
    <col min="6" max="6" width="58" customWidth="1"/>
  </cols>
  <sheetData>
    <row r="1" spans="2:7" x14ac:dyDescent="0.2">
      <c r="C1" t="s">
        <v>103</v>
      </c>
      <c r="D1" t="s">
        <v>147</v>
      </c>
      <c r="E1" t="s">
        <v>139</v>
      </c>
      <c r="F1" t="s">
        <v>104</v>
      </c>
      <c r="G1" t="s">
        <v>142</v>
      </c>
    </row>
    <row r="2" spans="2:7" x14ac:dyDescent="0.2">
      <c r="B2" s="1" t="s">
        <v>88</v>
      </c>
      <c r="C2" s="1" t="s">
        <v>124</v>
      </c>
      <c r="D2" s="1" t="s">
        <v>148</v>
      </c>
      <c r="E2" t="s">
        <v>141</v>
      </c>
      <c r="F2" s="1" t="s">
        <v>138</v>
      </c>
      <c r="G2" s="1" t="s">
        <v>26</v>
      </c>
    </row>
    <row r="3" spans="2:7" x14ac:dyDescent="0.2">
      <c r="B3" s="1"/>
      <c r="C3" s="1"/>
      <c r="D3" s="1"/>
      <c r="F3" s="1" t="s">
        <v>134</v>
      </c>
      <c r="G3" t="s">
        <v>26</v>
      </c>
    </row>
    <row r="4" spans="2:7" x14ac:dyDescent="0.2">
      <c r="B4" s="1"/>
      <c r="C4" s="1"/>
      <c r="D4" s="1"/>
      <c r="F4" s="1" t="s">
        <v>135</v>
      </c>
      <c r="G4" t="s">
        <v>26</v>
      </c>
    </row>
    <row r="5" spans="2:7" x14ac:dyDescent="0.2">
      <c r="B5" s="1"/>
      <c r="C5" s="1"/>
      <c r="D5" s="1"/>
      <c r="F5" s="1" t="s">
        <v>136</v>
      </c>
      <c r="G5" t="s">
        <v>26</v>
      </c>
    </row>
    <row r="6" spans="2:7" x14ac:dyDescent="0.2">
      <c r="B6" s="1"/>
      <c r="C6" s="1"/>
      <c r="D6" s="1"/>
      <c r="E6" t="s">
        <v>144</v>
      </c>
      <c r="F6" s="1" t="s">
        <v>145</v>
      </c>
      <c r="G6" t="s">
        <v>26</v>
      </c>
    </row>
    <row r="7" spans="2:7" x14ac:dyDescent="0.2">
      <c r="E7" t="s">
        <v>149</v>
      </c>
      <c r="F7" s="1" t="s">
        <v>150</v>
      </c>
      <c r="G7" t="s">
        <v>26</v>
      </c>
    </row>
    <row r="9" spans="2:7" x14ac:dyDescent="0.2">
      <c r="E9" s="1" t="s">
        <v>140</v>
      </c>
      <c r="F9" s="1" t="s">
        <v>137</v>
      </c>
      <c r="G9" t="s">
        <v>26</v>
      </c>
    </row>
    <row r="10" spans="2:7" x14ac:dyDescent="0.2">
      <c r="E10" s="1" t="s">
        <v>146</v>
      </c>
      <c r="F10" t="s">
        <v>143</v>
      </c>
      <c r="G10" t="s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9A758-2F1B-EF4F-958B-DB64CA73E5CC}">
  <dimension ref="A1:M53"/>
  <sheetViews>
    <sheetView zoomScale="80" zoomScaleNormal="80" workbookViewId="0">
      <selection activeCell="C25" sqref="C25"/>
    </sheetView>
  </sheetViews>
  <sheetFormatPr baseColWidth="10" defaultColWidth="8.83203125" defaultRowHeight="16" x14ac:dyDescent="0.2"/>
  <cols>
    <col min="1" max="1" width="27.6640625" bestFit="1" customWidth="1"/>
    <col min="2" max="2" width="18.33203125" bestFit="1" customWidth="1"/>
    <col min="3" max="3" width="25.33203125" customWidth="1"/>
    <col min="4" max="4" width="27.6640625" bestFit="1" customWidth="1"/>
    <col min="7" max="7" width="22.1640625" bestFit="1" customWidth="1"/>
  </cols>
  <sheetData>
    <row r="1" spans="1:13" x14ac:dyDescent="0.2">
      <c r="B1" t="s">
        <v>454</v>
      </c>
      <c r="C1" t="s">
        <v>455</v>
      </c>
      <c r="H1" t="s">
        <v>456</v>
      </c>
      <c r="I1" t="s">
        <v>457</v>
      </c>
      <c r="L1" t="s">
        <v>456</v>
      </c>
      <c r="M1" t="s">
        <v>457</v>
      </c>
    </row>
    <row r="2" spans="1:13" x14ac:dyDescent="0.2">
      <c r="A2" t="s">
        <v>458</v>
      </c>
      <c r="B2">
        <v>0.188</v>
      </c>
      <c r="C2" s="85" t="s">
        <v>408</v>
      </c>
      <c r="G2" t="s">
        <v>459</v>
      </c>
      <c r="H2">
        <v>2.7743699999999998</v>
      </c>
      <c r="I2">
        <v>2.8641299999999998</v>
      </c>
      <c r="K2" t="s">
        <v>390</v>
      </c>
      <c r="L2">
        <v>5.6759909999999998</v>
      </c>
      <c r="M2">
        <v>0.5556025</v>
      </c>
    </row>
    <row r="3" spans="1:13" x14ac:dyDescent="0.2">
      <c r="A3" t="s">
        <v>460</v>
      </c>
      <c r="B3">
        <v>-4.5999999999999999E-2</v>
      </c>
      <c r="C3" s="85" t="s">
        <v>485</v>
      </c>
      <c r="K3" t="s">
        <v>461</v>
      </c>
      <c r="L3">
        <v>0</v>
      </c>
      <c r="M3">
        <v>0</v>
      </c>
    </row>
    <row r="4" spans="1:13" x14ac:dyDescent="0.2">
      <c r="A4" t="s">
        <v>466</v>
      </c>
      <c r="B4">
        <v>4.0000000000000001E-3</v>
      </c>
      <c r="C4">
        <v>0.114</v>
      </c>
      <c r="G4" t="s">
        <v>465</v>
      </c>
      <c r="H4">
        <v>0.27068130000000001</v>
      </c>
      <c r="I4">
        <v>0.29724149999999999</v>
      </c>
      <c r="K4" t="s">
        <v>390</v>
      </c>
      <c r="L4">
        <v>7.1020000000000003</v>
      </c>
      <c r="M4">
        <v>1.7427600000000001</v>
      </c>
    </row>
    <row r="5" spans="1:13" x14ac:dyDescent="0.2">
      <c r="K5" t="s">
        <v>461</v>
      </c>
      <c r="L5">
        <v>0</v>
      </c>
      <c r="M5">
        <v>0</v>
      </c>
    </row>
    <row r="7" spans="1:13" x14ac:dyDescent="0.2">
      <c r="B7" s="83"/>
    </row>
    <row r="16" spans="1:13" x14ac:dyDescent="0.2">
      <c r="B16" t="s">
        <v>454</v>
      </c>
    </row>
    <row r="17" spans="1:5" x14ac:dyDescent="0.2">
      <c r="A17" t="s">
        <v>459</v>
      </c>
      <c r="B17" t="s">
        <v>463</v>
      </c>
      <c r="C17" t="s">
        <v>491</v>
      </c>
    </row>
    <row r="18" spans="1:5" x14ac:dyDescent="0.2">
      <c r="A18">
        <f>L2+M2</f>
        <v>6.2315934999999998</v>
      </c>
      <c r="B18">
        <f>$B$2+$B$3*A18+$B$4*L4</f>
        <v>-7.0245300999999968E-2</v>
      </c>
      <c r="E18" s="84"/>
    </row>
    <row r="19" spans="1:5" x14ac:dyDescent="0.2">
      <c r="A19">
        <f>L2-M2</f>
        <v>5.1203884999999998</v>
      </c>
      <c r="B19">
        <f>$B$2+$B$3*A19+$B$4*L4</f>
        <v>-1.9129870999999979E-2</v>
      </c>
    </row>
    <row r="20" spans="1:5" x14ac:dyDescent="0.2">
      <c r="A20">
        <v>0</v>
      </c>
      <c r="B20">
        <f>$B$2+$B$3*A20</f>
        <v>0.188</v>
      </c>
    </row>
    <row r="21" spans="1:5" x14ac:dyDescent="0.2">
      <c r="A21">
        <v>7</v>
      </c>
      <c r="C21">
        <v>0</v>
      </c>
    </row>
    <row r="22" spans="1:5" x14ac:dyDescent="0.2">
      <c r="A22">
        <v>0</v>
      </c>
      <c r="C22">
        <v>0</v>
      </c>
    </row>
    <row r="24" spans="1:5" x14ac:dyDescent="0.2">
      <c r="B24" t="s">
        <v>464</v>
      </c>
    </row>
    <row r="25" spans="1:5" x14ac:dyDescent="0.2">
      <c r="A25" t="s">
        <v>465</v>
      </c>
      <c r="B25" t="s">
        <v>463</v>
      </c>
      <c r="C25" t="s">
        <v>491</v>
      </c>
    </row>
    <row r="26" spans="1:5" x14ac:dyDescent="0.2">
      <c r="A26">
        <v>8.8000000000000007</v>
      </c>
      <c r="C26">
        <v>0</v>
      </c>
    </row>
    <row r="27" spans="1:5" x14ac:dyDescent="0.2">
      <c r="A27">
        <v>0</v>
      </c>
      <c r="C27">
        <v>0</v>
      </c>
    </row>
    <row r="28" spans="1:5" x14ac:dyDescent="0.2">
      <c r="A28">
        <v>0</v>
      </c>
      <c r="B28">
        <f>$C$2+C3*L2+$C$4*A28</f>
        <v>-0.74690216399999976</v>
      </c>
    </row>
    <row r="29" spans="1:5" x14ac:dyDescent="0.2">
      <c r="A29">
        <f>L4-M4</f>
        <v>5.3592399999999998</v>
      </c>
      <c r="B29">
        <f>$C$2+C3*L2+$C$4*A29</f>
        <v>-0.13594880399999976</v>
      </c>
    </row>
    <row r="30" spans="1:5" x14ac:dyDescent="0.2">
      <c r="A30">
        <f>L4+M4</f>
        <v>8.8447600000000008</v>
      </c>
      <c r="B30">
        <f>$C$2+C3*L2+$C$4*A30</f>
        <v>0.26140047600000038</v>
      </c>
    </row>
    <row r="41" spans="1:5" x14ac:dyDescent="0.2">
      <c r="A41" s="21" t="s">
        <v>55</v>
      </c>
    </row>
    <row r="42" spans="1:5" x14ac:dyDescent="0.2">
      <c r="A42" s="7"/>
      <c r="B42" s="8" t="s">
        <v>27</v>
      </c>
      <c r="C42" s="8" t="s">
        <v>28</v>
      </c>
      <c r="D42" s="8" t="s">
        <v>29</v>
      </c>
      <c r="E42" s="8" t="s">
        <v>30</v>
      </c>
    </row>
    <row r="43" spans="1:5" x14ac:dyDescent="0.2">
      <c r="A43" s="11" t="s">
        <v>39</v>
      </c>
      <c r="B43" s="86" t="s">
        <v>40</v>
      </c>
      <c r="C43" s="86"/>
      <c r="D43" s="86" t="s">
        <v>449</v>
      </c>
      <c r="E43" s="86"/>
    </row>
    <row r="44" spans="1:5" ht="16" customHeight="1" x14ac:dyDescent="0.2">
      <c r="A44" s="87" t="s">
        <v>21</v>
      </c>
      <c r="B44" s="13" t="s">
        <v>368</v>
      </c>
      <c r="C44" s="13" t="s">
        <v>369</v>
      </c>
      <c r="D44" s="13" t="s">
        <v>490</v>
      </c>
      <c r="E44" s="13" t="s">
        <v>408</v>
      </c>
    </row>
    <row r="45" spans="1:5" x14ac:dyDescent="0.2">
      <c r="A45" s="87"/>
      <c r="B45" s="13" t="s">
        <v>0</v>
      </c>
      <c r="C45" s="13" t="s">
        <v>93</v>
      </c>
      <c r="D45" s="13" t="s">
        <v>1</v>
      </c>
      <c r="E45" s="13" t="s">
        <v>484</v>
      </c>
    </row>
    <row r="46" spans="1:5" ht="16" customHeight="1" x14ac:dyDescent="0.2">
      <c r="A46" s="87" t="s">
        <v>444</v>
      </c>
      <c r="B46" s="13" t="s">
        <v>372</v>
      </c>
      <c r="C46" s="13" t="s">
        <v>368</v>
      </c>
      <c r="D46" s="13" t="s">
        <v>372</v>
      </c>
      <c r="E46" s="13" t="s">
        <v>485</v>
      </c>
    </row>
    <row r="47" spans="1:5" x14ac:dyDescent="0.2">
      <c r="A47" s="87"/>
      <c r="B47" s="13" t="s">
        <v>372</v>
      </c>
      <c r="C47" s="13" t="s">
        <v>3</v>
      </c>
      <c r="D47" s="13" t="s">
        <v>372</v>
      </c>
      <c r="E47" s="13" t="s">
        <v>486</v>
      </c>
    </row>
    <row r="48" spans="1:5" ht="16" customHeight="1" x14ac:dyDescent="0.2">
      <c r="A48" s="87" t="s">
        <v>445</v>
      </c>
      <c r="B48" s="13" t="s">
        <v>372</v>
      </c>
      <c r="C48" s="13" t="s">
        <v>374</v>
      </c>
      <c r="D48" s="13" t="s">
        <v>372</v>
      </c>
      <c r="E48" s="13" t="s">
        <v>413</v>
      </c>
    </row>
    <row r="49" spans="1:5" x14ac:dyDescent="0.2">
      <c r="A49" s="88"/>
      <c r="B49" s="14" t="s">
        <v>372</v>
      </c>
      <c r="C49" s="14" t="s">
        <v>375</v>
      </c>
      <c r="D49" s="14" t="s">
        <v>372</v>
      </c>
      <c r="E49" s="14" t="s">
        <v>487</v>
      </c>
    </row>
    <row r="50" spans="1:5" x14ac:dyDescent="0.2">
      <c r="A50" s="15" t="s">
        <v>22</v>
      </c>
      <c r="B50" s="13" t="s">
        <v>23</v>
      </c>
      <c r="C50" s="13" t="s">
        <v>23</v>
      </c>
      <c r="D50" s="13" t="s">
        <v>23</v>
      </c>
      <c r="E50" s="13" t="s">
        <v>23</v>
      </c>
    </row>
    <row r="51" spans="1:5" x14ac:dyDescent="0.2">
      <c r="A51" s="15" t="s">
        <v>24</v>
      </c>
      <c r="B51" s="13" t="s">
        <v>23</v>
      </c>
      <c r="C51" s="13" t="s">
        <v>23</v>
      </c>
      <c r="D51" s="13" t="s">
        <v>23</v>
      </c>
      <c r="E51" s="13" t="s">
        <v>23</v>
      </c>
    </row>
    <row r="52" spans="1:5" x14ac:dyDescent="0.2">
      <c r="A52" s="15" t="s">
        <v>25</v>
      </c>
      <c r="B52" s="13" t="s">
        <v>23</v>
      </c>
      <c r="C52" s="13" t="s">
        <v>23</v>
      </c>
      <c r="D52" s="13" t="s">
        <v>23</v>
      </c>
      <c r="E52" s="13" t="s">
        <v>23</v>
      </c>
    </row>
    <row r="53" spans="1:5" x14ac:dyDescent="0.2">
      <c r="A53" s="16" t="s">
        <v>26</v>
      </c>
      <c r="B53" s="14" t="s">
        <v>31</v>
      </c>
      <c r="C53" s="14" t="s">
        <v>366</v>
      </c>
      <c r="D53" s="14" t="s">
        <v>489</v>
      </c>
      <c r="E53" s="14" t="s">
        <v>367</v>
      </c>
    </row>
  </sheetData>
  <mergeCells count="5">
    <mergeCell ref="B43:C43"/>
    <mergeCell ref="D43:E43"/>
    <mergeCell ref="A44:A45"/>
    <mergeCell ref="A46:A47"/>
    <mergeCell ref="A48:A49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3DAC6-C5C3-354F-B2FD-60E4A6B32505}">
  <dimension ref="A1:M30"/>
  <sheetViews>
    <sheetView tabSelected="1" zoomScale="80" zoomScaleNormal="80" workbookViewId="0">
      <selection activeCell="K48" sqref="K48"/>
    </sheetView>
  </sheetViews>
  <sheetFormatPr baseColWidth="10" defaultColWidth="8.83203125" defaultRowHeight="16" x14ac:dyDescent="0.2"/>
  <cols>
    <col min="1" max="1" width="27.6640625" bestFit="1" customWidth="1"/>
    <col min="2" max="2" width="18.33203125" bestFit="1" customWidth="1"/>
    <col min="3" max="3" width="25.33203125" customWidth="1"/>
    <col min="4" max="4" width="27.6640625" bestFit="1" customWidth="1"/>
    <col min="7" max="7" width="22.1640625" bestFit="1" customWidth="1"/>
  </cols>
  <sheetData>
    <row r="1" spans="1:13" x14ac:dyDescent="0.2">
      <c r="B1" t="s">
        <v>454</v>
      </c>
      <c r="C1" t="s">
        <v>455</v>
      </c>
      <c r="H1" t="s">
        <v>456</v>
      </c>
      <c r="I1" t="s">
        <v>457</v>
      </c>
      <c r="L1" t="s">
        <v>456</v>
      </c>
      <c r="M1" t="s">
        <v>457</v>
      </c>
    </row>
    <row r="2" spans="1:13" x14ac:dyDescent="0.2">
      <c r="A2" t="s">
        <v>458</v>
      </c>
      <c r="B2">
        <v>0.188</v>
      </c>
      <c r="C2">
        <v>0</v>
      </c>
      <c r="G2" t="s">
        <v>459</v>
      </c>
      <c r="H2">
        <v>2.7743699999999998</v>
      </c>
      <c r="I2">
        <v>2.8641299999999998</v>
      </c>
      <c r="K2" t="s">
        <v>390</v>
      </c>
      <c r="L2">
        <v>5.6759909999999998</v>
      </c>
      <c r="M2">
        <v>0.5556025</v>
      </c>
    </row>
    <row r="3" spans="1:13" x14ac:dyDescent="0.2">
      <c r="A3" t="s">
        <v>460</v>
      </c>
      <c r="B3">
        <v>-4.5999999999999999E-2</v>
      </c>
      <c r="C3">
        <v>0</v>
      </c>
      <c r="K3" t="s">
        <v>461</v>
      </c>
      <c r="L3">
        <v>0</v>
      </c>
      <c r="M3">
        <v>0</v>
      </c>
    </row>
    <row r="4" spans="1:13" x14ac:dyDescent="0.2">
      <c r="A4" t="s">
        <v>466</v>
      </c>
      <c r="B4">
        <v>0</v>
      </c>
      <c r="C4">
        <v>9.0999999999999998E-2</v>
      </c>
      <c r="G4" t="s">
        <v>465</v>
      </c>
      <c r="H4">
        <v>0.27068130000000001</v>
      </c>
      <c r="I4">
        <v>0.29724149999999999</v>
      </c>
      <c r="K4" t="s">
        <v>390</v>
      </c>
      <c r="L4">
        <v>7.1020000000000003</v>
      </c>
      <c r="M4">
        <v>1.7427600000000001</v>
      </c>
    </row>
    <row r="5" spans="1:13" x14ac:dyDescent="0.2">
      <c r="K5" t="s">
        <v>461</v>
      </c>
      <c r="L5">
        <v>0</v>
      </c>
      <c r="M5">
        <v>0</v>
      </c>
    </row>
    <row r="7" spans="1:13" x14ac:dyDescent="0.2">
      <c r="B7" s="83"/>
    </row>
    <row r="16" spans="1:13" x14ac:dyDescent="0.2">
      <c r="B16" t="s">
        <v>454</v>
      </c>
    </row>
    <row r="17" spans="1:5" x14ac:dyDescent="0.2">
      <c r="A17" t="s">
        <v>459</v>
      </c>
      <c r="B17" t="s">
        <v>463</v>
      </c>
      <c r="C17" t="s">
        <v>491</v>
      </c>
    </row>
    <row r="18" spans="1:5" x14ac:dyDescent="0.2">
      <c r="A18">
        <f>L2+M2</f>
        <v>6.2315934999999998</v>
      </c>
      <c r="B18">
        <f>$B$2+$B$3*A18</f>
        <v>-9.8653300999999971E-2</v>
      </c>
      <c r="E18" s="84"/>
    </row>
    <row r="19" spans="1:5" x14ac:dyDescent="0.2">
      <c r="A19">
        <f>L2-M2</f>
        <v>5.1203884999999998</v>
      </c>
      <c r="B19">
        <f>$B$2+$B$3*A19</f>
        <v>-4.7537870999999982E-2</v>
      </c>
    </row>
    <row r="20" spans="1:5" x14ac:dyDescent="0.2">
      <c r="A20">
        <v>0</v>
      </c>
      <c r="B20">
        <f>$B$2+$B$3*A20</f>
        <v>0.188</v>
      </c>
    </row>
    <row r="21" spans="1:5" x14ac:dyDescent="0.2">
      <c r="A21">
        <v>6.23</v>
      </c>
      <c r="C21">
        <v>0</v>
      </c>
    </row>
    <row r="22" spans="1:5" x14ac:dyDescent="0.2">
      <c r="A22">
        <v>0</v>
      </c>
      <c r="C22">
        <v>0</v>
      </c>
    </row>
    <row r="24" spans="1:5" x14ac:dyDescent="0.2">
      <c r="B24" t="s">
        <v>464</v>
      </c>
    </row>
    <row r="25" spans="1:5" x14ac:dyDescent="0.2">
      <c r="A25" t="s">
        <v>462</v>
      </c>
      <c r="B25" t="s">
        <v>463</v>
      </c>
      <c r="C25" t="s">
        <v>491</v>
      </c>
    </row>
    <row r="26" spans="1:5" x14ac:dyDescent="0.2">
      <c r="A26">
        <v>8.8000000000000007</v>
      </c>
      <c r="C26">
        <v>0</v>
      </c>
    </row>
    <row r="27" spans="1:5" x14ac:dyDescent="0.2">
      <c r="A27">
        <v>0</v>
      </c>
      <c r="C27">
        <v>0</v>
      </c>
    </row>
    <row r="28" spans="1:5" x14ac:dyDescent="0.2">
      <c r="A28">
        <v>0</v>
      </c>
      <c r="B28">
        <f>$C$2+$C$4*A28</f>
        <v>0</v>
      </c>
    </row>
    <row r="29" spans="1:5" x14ac:dyDescent="0.2">
      <c r="A29">
        <f>L4-M4</f>
        <v>5.3592399999999998</v>
      </c>
      <c r="B29">
        <f>$C$2+$C$4*A29</f>
        <v>0.48769083999999996</v>
      </c>
    </row>
    <row r="30" spans="1:5" x14ac:dyDescent="0.2">
      <c r="A30">
        <f>L4+M4</f>
        <v>8.8447600000000008</v>
      </c>
      <c r="B30">
        <f>$C$2+$C$4*A30</f>
        <v>0.80487316000000009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main results</vt:lpstr>
      <vt:lpstr>mechanism updated</vt:lpstr>
      <vt:lpstr>robustness</vt:lpstr>
      <vt:lpstr>posthoc</vt:lpstr>
      <vt:lpstr>literature review</vt:lpstr>
      <vt:lpstr>Sheet1</vt:lpstr>
      <vt:lpstr>mechanism about H4</vt:lpstr>
      <vt:lpstr>interaction plot (with non-sig)</vt:lpstr>
      <vt:lpstr>interaction plot (original)</vt:lpstr>
      <vt:lpstr>'literature review'!_Hlk194498603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CHEN</dc:creator>
  <cp:lastModifiedBy>Dylan CHEN</cp:lastModifiedBy>
  <dcterms:created xsi:type="dcterms:W3CDTF">2026-05-21T07:24:36Z</dcterms:created>
  <dcterms:modified xsi:type="dcterms:W3CDTF">2026-08-29T01:59:12Z</dcterms:modified>
</cp:coreProperties>
</file>