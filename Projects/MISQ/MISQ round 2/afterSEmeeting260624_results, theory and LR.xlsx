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"/>
    </mc:Choice>
  </mc:AlternateContent>
  <xr:revisionPtr revIDLastSave="0" documentId="13_ncr:1_{2608270F-413F-6A4D-BACE-2FB84F46E895}" xr6:coauthVersionLast="47" xr6:coauthVersionMax="47" xr10:uidLastSave="{00000000-0000-0000-0000-000000000000}"/>
  <bookViews>
    <workbookView xWindow="0" yWindow="500" windowWidth="38400" windowHeight="19580" activeTab="2" xr2:uid="{30F402B7-E6D8-E34B-8063-713AC97DE139}"/>
  </bookViews>
  <sheets>
    <sheet name="Theory" sheetId="8" r:id="rId1"/>
    <sheet name="Result" sheetId="10" r:id="rId2"/>
    <sheet name="Results (with table)" sheetId="7" r:id="rId3"/>
    <sheet name="Literature Review" sheetId="9" r:id="rId4"/>
    <sheet name="interaction plot (20260608)" sheetId="6" r:id="rId5"/>
    <sheet name="table in paper" sheetId="3" r:id="rId6"/>
    <sheet name="Sheet1" sheetId="1" r:id="rId7"/>
    <sheet name="Sheet3" sheetId="5" r:id="rId8"/>
    <sheet name="interaction plot" sheetId="2" r:id="rId9"/>
  </sheets>
  <definedNames>
    <definedName name="_Hlk194498603" localSheetId="3">'Literature Review'!$A$15</definedName>
    <definedName name="_Ref194135344" localSheetId="2">'Results (with table)'!$N$26</definedName>
    <definedName name="_Ref210225085" localSheetId="2">'Results (with table)'!$D$42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<sst xmlns="http://schemas.openxmlformats.org/spreadsheetml/2006/main" count="1343" uniqueCount="574">
  <si>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</si>
  <si>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</si>
  <si>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</si>
  <si>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</si>
  <si>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</si>
  <si>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</si>
  <si>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</si>
  <si>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</si>
  <si>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</si>
  <si>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</si>
  <si>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</si>
  <si>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</si>
  <si>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</si>
  <si>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</si>
  <si>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</si>
  <si>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</si>
  <si>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</si>
  <si>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</si>
  <si>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</si>
  <si>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</si>
  <si>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</si>
  <si>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</si>
  <si>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</si>
  <si>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</si>
  <si>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</si>
  <si>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</si>
  <si>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</si>
  <si>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</si>
  <si>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</si>
  <si>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</si>
  <si>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</si>
  <si>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</si>
  <si>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</si>
  <si>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</si>
  <si>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</si>
  <si>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</si>
  <si>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</si>
  <si>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</si>
  <si>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</si>
  <si>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</si>
  <si>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</si>
  <si>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</si>
  <si>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</si>
  <si>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</si>
  <si>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</si>
  <si>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</si>
  <si>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</si>
  <si>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</si>
  <si>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</si>
  <si>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</si>
  <si>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</si>
  <si>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</si>
  <si>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</si>
  <si>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</si>
  <si>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</si>
  <si>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</si>
  <si>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</si>
  <si>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</si>
  <si>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</si>
  <si>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</si>
  <si>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</si>
  <si>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</si>
  <si>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</si>
  <si>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</si>
  <si>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</si>
  <si>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</si>
  <si>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</si>
  <si>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</si>
  <si>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</si>
  <si>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</si>
  <si>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</si>
  <si>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</si>
  <si>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</si>
  <si>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</si>
  <si>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</si>
  <si>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</si>
  <si>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</si>
  <si>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</si>
  <si>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</si>
  <si>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</si>
  <si>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</si>
  <si>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</si>
  <si>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</si>
  <si>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</si>
  <si>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</si>
  <si>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</si>
  <si>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</si>
  <si>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</si>
  <si>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</si>
  <si>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</si>
  <si>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</si>
  <si>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</si>
  <si>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</si>
  <si>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</si>
  <si>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</si>
  <si>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</si>
  <si>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</si>
  <si>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</si>
  <si>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</si>
  <si>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</si>
  <si>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</si>
  <si>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</si>
  <si>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</si>
  <si>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</si>
  <si>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</si>
  <si>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</si>
  <si>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</si>
  <si>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</si>
  <si>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</si>
  <si>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</si>
  <si>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</si>
  <si>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</si>
  <si>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</si>
  <si>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</si>
  <si>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</si>
  <si>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</si>
  <si>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</si>
  <si>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</si>
  <si>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</si>
  <si>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</si>
  <si>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</si>
  <si>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</si>
  <si>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</si>
  <si>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</si>
  <si>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</si>
  <si>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</si>
  <si>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</si>
  <si>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</si>
  <si>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</si>
  <si>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</si>
  <si>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</si>
  <si>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</si>
  <si>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</si>
  <si>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</si>
  <si>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</si>
  <si>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</si>
  <si>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</si>
  <si>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</si>
  <si>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</si>
  <si>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</si>
  <si>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</si>
  <si>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</si>
  <si>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</si>
  <si>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</si>
  <si>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</si>
  <si>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</si>
  <si>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</si>
  <si>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</si>
  <si>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</si>
  <si>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</si>
  <si>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</si>
  <si>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</si>
  <si>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</si>
  <si>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</si>
  <si>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</si>
  <si>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</si>
  <si>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</si>
  <si>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</si>
  <si>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</si>
  <si>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</si>
  <si>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</si>
  <si>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</si>
  <si>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</si>
  <si>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</si>
  <si>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</si>
  <si>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</si>
  <si>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</si>
  <si>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</si>
  <si>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</si>
  <si>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</si>
  <si>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</si>
  <si>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</si>
  <si>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</si>
  <si>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</si>
  <si>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</si>
  <si>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</si>
  <si>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</si>
  <si>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</si>
  <si>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</si>
  <si>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</si>
  <si>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</si>
  <si>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</si>
  <si>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</si>
  <si>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</si>
  <si>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</si>
  <si>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</si>
  <si>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</si>
  <si>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</si>
  <si>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</si>
  <si>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</si>
  <si>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</si>
  <si>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</si>
  <si>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</si>
  <si>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</si>
  <si>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</si>
  <si>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</si>
  <si>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</si>
  <si>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</si>
  <si>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</si>
  <si>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</si>
  <si>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</si>
  <si>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</si>
  <si>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</si>
  <si>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</si>
  <si>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</si>
  <si>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</si>
  <si>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</si>
  <si>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</si>
  <si>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</si>
  <si>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</si>
  <si>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</si>
  <si>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</si>
  <si>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</si>
  <si>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</si>
  <si>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</si>
  <si>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</si>
  <si>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</si>
  <si>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</si>
  <si>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</si>
  <si>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</si>
  <si>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</si>
  <si>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</si>
  <si>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</si>
  <si>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</si>
  <si>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</si>
  <si>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</si>
  <si>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</si>
  <si>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</si>
  <si>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</si>
  <si>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</si>
  <si>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</si>
  <si>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</si>
  <si>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</si>
  <si>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</si>
  <si>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</si>
  <si>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</si>
  <si>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</si>
  <si>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</si>
  <si>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</si>
  <si>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</si>
  <si>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</si>
  <si>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</si>
  <si>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</si>
  <si>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</si>
  <si>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</si>
  <si>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</si>
  <si>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</si>
  <si>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</si>
  <si>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</si>
  <si>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</si>
  <si>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</si>
  <si>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</si>
  <si>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</si>
  <si>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</si>
  <si>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</si>
  <si>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</si>
  <si>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</si>
  <si>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</si>
  <si>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</si>
  <si>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</si>
  <si>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</si>
  <si>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</si>
  <si>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</si>
  <si>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</si>
  <si>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</si>
  <si>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</si>
  <si>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</si>
  <si>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</si>
  <si>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</si>
  <si>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</si>
  <si>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</si>
  <si>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</si>
  <si>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</si>
  <si>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</si>
  <si>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</si>
  <si>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</si>
  <si>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</si>
  <si>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</si>
  <si>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</si>
  <si>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</si>
  <si>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</si>
  <si>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</si>
  <si>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</si>
  <si>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</si>
  <si>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</si>
  <si>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</si>
  <si>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</si>
  <si>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</si>
  <si>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</si>
  <si>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</si>
  <si>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</si>
  <si>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</si>
  <si>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</si>
  <si>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</si>
  <si>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</si>
  <si>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</si>
  <si>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</si>
  <si>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</si>
  <si>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</si>
  <si>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</si>
  <si>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</si>
  <si>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</si>
  <si>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</si>
  <si>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</si>
  <si>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</si>
  <si>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</si>
  <si>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</si>
  <si>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</si>
  <si>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</si>
  <si>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</si>
  <si>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</si>
  <si>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</si>
  <si>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</si>
  <si>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</si>
  <si>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</si>
  <si>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</si>
  <si>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</si>
  <si>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</si>
  <si>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</si>
  <si>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</si>
  <si>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</si>
  <si>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</si>
  <si>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</si>
  <si>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</si>
  <si>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</si>
  <si>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</si>
  <si>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</si>
  <si>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</si>
  <si>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</si>
  <si>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</si>
  <si>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</si>
  <si>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</si>
  <si>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</si>
  <si>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</si>
  <si>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</si>
  <si>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</si>
  <si>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</si>
  <si>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</si>
  <si>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</si>
  <si>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</si>
  <si>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</si>
  <si>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</si>
  <si>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</si>
  <si>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</si>
  <si>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</si>
  <si>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</si>
  <si>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</si>
  <si>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</si>
  <si>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</si>
  <si>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</si>
  <si>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</si>
  <si>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</si>
  <si>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</si>
  <si>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</si>
  <si>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</si>
  <si>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</si>
  <si>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</si>
  <si>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</si>
  <si>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</si>
  <si>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</si>
  <si>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</si>
  <si>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</si>
  <si>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</si>
  <si>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</si>
  <si>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</si>
  <si>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</si>
  <si>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</si>
  <si>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</si>
  <si>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</si>
  <si>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</si>
  <si>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</si>
  <si>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</si>
  <si>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</si>
  <si>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</si>
  <si>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</si>
  <si>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</si>
  <si>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</si>
  <si>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</si>
  <si>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</si>
  <si>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</si>
  <si>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</si>
  <si>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</si>
  <si>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</si>
  <si>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(0.007)</t>
  </si>
  <si>
    <t>-0.013</t>
  </si>
  <si>
    <t>0.350 ***</t>
  </si>
  <si>
    <t>2,685</t>
  </si>
  <si>
    <t>-0.120 .</t>
  </si>
  <si>
    <t>DV</t>
  </si>
  <si>
    <t>Contribution (Fast)</t>
  </si>
  <si>
    <t>Answer Quality (Slow)</t>
  </si>
  <si>
    <t>AI Label</t>
  </si>
  <si>
    <r>
      <t xml:space="preserve">H1: </t>
    </r>
    <r>
      <rPr>
        <b/>
        <sz val="16"/>
        <color rgb="FF000000"/>
        <rFont val="Calibri Light"/>
        <family val="2"/>
      </rPr>
      <t>↑</t>
    </r>
  </si>
  <si>
    <r>
      <t xml:space="preserve">H3: </t>
    </r>
    <r>
      <rPr>
        <b/>
        <sz val="16"/>
        <color rgb="FF000000"/>
        <rFont val="Calibri Light"/>
        <family val="2"/>
      </rPr>
      <t>↓</t>
    </r>
  </si>
  <si>
    <t>AI Answer Length</t>
  </si>
  <si>
    <t>—</t>
  </si>
  <si>
    <t>AI Answer Quality</t>
  </si>
  <si>
    <r>
      <t xml:space="preserve">H4: </t>
    </r>
    <r>
      <rPr>
        <b/>
        <sz val="16"/>
        <color rgb="FF000000"/>
        <rFont val="Calibri Light"/>
        <family val="2"/>
      </rPr>
      <t>reverses H3</t>
    </r>
  </si>
  <si>
    <r>
      <t xml:space="preserve">H2: </t>
    </r>
    <r>
      <rPr>
        <b/>
        <sz val="16"/>
        <color rgb="FF000000"/>
        <rFont val="Calibri Light"/>
        <family val="2"/>
      </rPr>
      <t>reverses H1</t>
    </r>
  </si>
  <si>
    <t>Log(answer number in 7 days)</t>
  </si>
  <si>
    <t>First answer quality (LLM)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</si>
  <si>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</si>
  <si>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AnswerQuality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</si>
  <si>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theme="1"/>
        <rFont val="Times New Roman"/>
        <family val="1"/>
      </rPr>
      <t>i</t>
    </r>
  </si>
  <si>
    <t>OLS</t>
  </si>
  <si>
    <t>Poisson</t>
  </si>
  <si>
    <t>ZIP</t>
  </si>
  <si>
    <t>ZINB</t>
  </si>
  <si>
    <r>
      <t>DV: log of the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</si>
  <si>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DV: the number of human answers provided within 7 days</t>
  </si>
  <si>
    <t>-0.042 ***</t>
  </si>
  <si>
    <t>-0.121 ***</t>
  </si>
  <si>
    <t>other controls</t>
  </si>
  <si>
    <t>questioner random effect</t>
  </si>
  <si>
    <t>AIC</t>
  </si>
  <si>
    <t>BIC</t>
  </si>
  <si>
    <t>log likelihood</t>
  </si>
  <si>
    <t>deviance</t>
  </si>
  <si>
    <t>pseudo R^2</t>
  </si>
  <si>
    <t>(5)</t>
  </si>
  <si>
    <t>Robustness checks: alternative model specifications for human answer supply</t>
  </si>
  <si>
    <t>The impact of AI-generated answers on the answer supply and answer quality</t>
  </si>
  <si>
    <t>DV: log of number of human answers provided within the full observation period</t>
  </si>
  <si>
    <t>DV: log of number of human answers provided within the first N days after the question is posted</t>
  </si>
  <si>
    <r>
      <t>DV: log of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</si>
  <si>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N=3</t>
  </si>
  <si>
    <t>N=7</t>
  </si>
  <si>
    <t>N=14</t>
  </si>
  <si>
    <t>-0.069 ***</t>
  </si>
  <si>
    <t>-0.047 ***</t>
  </si>
  <si>
    <t>-0.050 ***</t>
  </si>
  <si>
    <t>-0.038 *</t>
  </si>
  <si>
    <t>-0.038 **</t>
  </si>
  <si>
    <t>(6)</t>
  </si>
  <si>
    <t>(7)</t>
  </si>
  <si>
    <t>Robustness checks: alternative time frame used in analyses</t>
  </si>
  <si>
    <r>
      <t xml:space="preserve">DV: </t>
    </r>
    <r>
      <rPr>
        <i/>
        <sz val="10"/>
        <color theme="1"/>
        <rFont val="Times New Roman"/>
        <family val="1"/>
      </rPr>
      <t>answerNum</t>
    </r>
    <r>
      <rPr>
        <i/>
        <vertAlign val="subscript"/>
        <sz val="10"/>
        <color theme="1"/>
        <rFont val="Times New Roman"/>
        <family val="1"/>
      </rPr>
      <t>i</t>
    </r>
  </si>
  <si>
    <r>
      <t xml:space="preserve">DV: </t>
    </r>
    <r>
      <rPr>
        <i/>
        <sz val="10"/>
        <color rgb="FF000000"/>
        <rFont val="Times New Roman"/>
        <family val="1"/>
      </rPr>
      <t>netlikeNum</t>
    </r>
    <r>
      <rPr>
        <i/>
        <vertAlign val="subscript"/>
        <sz val="10"/>
        <color rgb="FF000000"/>
        <rFont val="Times New Roman"/>
        <family val="1"/>
      </rPr>
      <t>ij</t>
    </r>
  </si>
  <si>
    <t>post-AI deployment control group indicator</t>
  </si>
  <si>
    <t>controlling for a cubic polynomial of question/answer age</t>
  </si>
  <si>
    <r>
      <t>DV: quality</t>
    </r>
    <r>
      <rPr>
        <i/>
        <vertAlign val="subscript"/>
        <sz val="10"/>
        <color rgb="FF000000"/>
        <rFont val="Times New Roman"/>
        <family val="1"/>
      </rPr>
      <t>ij</t>
    </r>
  </si>
  <si>
    <t>Robustness to the quality of random assignment</t>
  </si>
  <si>
    <t xml:space="preserve">Original coefficient </t>
  </si>
  <si>
    <t xml:space="preserve">Bias-adjusted effect </t>
  </si>
  <si>
    <r>
      <t xml:space="preserve"> for </t>
    </r>
    <r>
      <rPr>
        <i/>
        <sz val="11"/>
        <color theme="1"/>
        <rFont val="Times New Roman"/>
        <family val="1"/>
      </rPr>
      <t>β</t>
    </r>
    <r>
      <rPr>
        <sz val="11"/>
        <color theme="1"/>
        <rFont val="Times New Roman"/>
        <family val="1"/>
      </rPr>
      <t xml:space="preserve">=0 given </t>
    </r>
  </si>
  <si>
    <r>
      <t xml:space="preserve">DV: </t>
    </r>
    <r>
      <rPr>
        <i/>
        <sz val="11"/>
        <color theme="1"/>
        <rFont val="Times New Roman"/>
        <family val="1"/>
      </rPr>
      <t>answerNum</t>
    </r>
    <r>
      <rPr>
        <i/>
        <vertAlign val="subscript"/>
        <sz val="11"/>
        <color theme="1"/>
        <rFont val="Times New Roman"/>
        <family val="1"/>
      </rPr>
      <t>i</t>
    </r>
  </si>
  <si>
    <t>R2</t>
  </si>
  <si>
    <t>R2max</t>
  </si>
  <si>
    <t>Robustness to potential spillover effects</t>
  </si>
  <si>
    <t>1 month</t>
  </si>
  <si>
    <t>2 months</t>
  </si>
  <si>
    <t>3 months</t>
  </si>
  <si>
    <t>The impact of AI-generated answers on the engagement of questioners &amp; viewers</t>
  </si>
  <si>
    <t>(0.027)</t>
  </si>
  <si>
    <t>(0.030)</t>
  </si>
  <si>
    <t>(0.026)</t>
  </si>
  <si>
    <t>(0.013)</t>
  </si>
  <si>
    <t>(0.031)</t>
  </si>
  <si>
    <t xml:space="preserve">the logarithm of the number of questioner’s subsequent activities after receiving an answer in </t>
  </si>
  <si>
    <r>
      <t xml:space="preserve">DV: the logarithm of the number of comments the questioner posted in response to answers received by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(Commenti)</t>
    </r>
  </si>
  <si>
    <r>
      <t xml:space="preserve">DV: the logarithm of the cumulative viewership count for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(Viewi)</t>
    </r>
  </si>
  <si>
    <t>other DV</t>
  </si>
  <si>
    <t>main results</t>
  </si>
  <si>
    <t>robustness</t>
  </si>
  <si>
    <t>additional analysis</t>
  </si>
  <si>
    <t>Other DV</t>
  </si>
  <si>
    <t>strength interpretation</t>
  </si>
  <si>
    <t>verify weak competitor</t>
  </si>
  <si>
    <t>verify "Fast Signal → Fast Outcome"</t>
  </si>
  <si>
    <t>AI label increase human contribution
AI length decrease human contribution</t>
  </si>
  <si>
    <t>AI lael decrease first human quality
AI quality increase first human quality</t>
  </si>
  <si>
    <t>AI label 加速first human的到来
AI length 减速first human的到来
AI quality 没有影响</t>
  </si>
  <si>
    <t>verify AI label generate affect/emotion that continuously impact quality</t>
  </si>
  <si>
    <t>AI lael decrease second human quality
AI length 不显著（length产生的judgement已过期）
AI quality increase second human quality</t>
  </si>
  <si>
    <t>Extend or Deepen Insights</t>
  </si>
  <si>
    <t>first human quality increase on what?</t>
  </si>
  <si>
    <t xml:space="preserve">different differientiation direction? </t>
  </si>
  <si>
    <t>AI quality increase Similarity(fisrt human, AI) in AI group</t>
  </si>
  <si>
    <t>question difficulty as moderator</t>
  </si>
  <si>
    <t>other parties: questioner &amp; viewer</t>
  </si>
  <si>
    <t>no impact on questioners and viewers</t>
  </si>
  <si>
    <t>AI lebel 更多地 increase high repuration expert contribution</t>
  </si>
  <si>
    <t>AI label 更多地 decrease high repuration expert quality
AI quality 更多地 increase  high repuration expert quality  (out of surprise)</t>
  </si>
  <si>
    <t>quality increase, how about recognition?</t>
  </si>
  <si>
    <t>netlike decrease, due to elevated expectation</t>
  </si>
  <si>
    <r>
      <t>Contribution = System 1 decision; Quality = System 2 outcome.</t>
    </r>
    <r>
      <rPr>
        <sz val="12"/>
        <color rgb="FF000000"/>
        <rFont val="Aptos Narrow"/>
        <family val="2"/>
        <scheme val="minor"/>
      </rPr>
      <t xml:space="preserve"> Whether to participate is a binary, low-load call that System 1 resolves in seconds. Producing a quality answer requires sustained reading, reasoning, and drafting—a protracted System 2 process.</t>
    </r>
  </si>
  <si>
    <t>另外我们能不能做个model free画一下两种问题随着时间平均回答数目和qulaity的变化</t>
  </si>
  <si>
    <t>大模型打分的quality能不能和viwer likes 算个correlation，没有AI只有人，看看face validity</t>
  </si>
  <si>
    <t>AI回答长度比人长，但是质量跟高端人差不多，我们看了对质量影响，有没有必要看看对长度影响？</t>
  </si>
  <si>
    <t>Reputation analysis 可不可以直接做哪些人的质量和长度和AI差不多</t>
  </si>
  <si>
    <t>Study</t>
  </si>
  <si>
    <t>Community</t>
  </si>
  <si>
    <t>AI Examined</t>
  </si>
  <si>
    <t>Event</t>
  </si>
  <si>
    <t>Research Design</t>
  </si>
  <si>
    <t>User Group Examined</t>
  </si>
  <si>
    <t>Unit of Analysis</t>
  </si>
  <si>
    <t>GenAI Effect</t>
  </si>
  <si>
    <t>Borwankar et al., 2023</t>
  </si>
  <si>
    <t>Stack Overflow</t>
  </si>
  <si>
    <t>ChatGPT</t>
  </si>
  <si>
    <t>GenAI ban</t>
  </si>
  <si>
    <t>Natural Experiment</t>
  </si>
  <si>
    <t>Answerer, Viewer</t>
  </si>
  <si>
    <t>answer-user-day</t>
  </si>
  <si>
    <t>Decrease # of likes</t>
  </si>
  <si>
    <t>Burtch et al., 2023</t>
  </si>
  <si>
    <t>GenAI introduction</t>
  </si>
  <si>
    <t>Questioner</t>
  </si>
  <si>
    <t>topic-week</t>
  </si>
  <si>
    <t>Reduce # of questions</t>
  </si>
  <si>
    <t>del Rio-Chanona et al., 2023</t>
  </si>
  <si>
    <t>Quinn &amp; Gutt, 2023</t>
  </si>
  <si>
    <t>Stack Exchange</t>
  </si>
  <si>
    <t>Sanatizadeh et al., 2023</t>
  </si>
  <si>
    <t>Questioner, Answerer, Viewer</t>
  </si>
  <si>
    <t>post-day</t>
  </si>
  <si>
    <t>Reduce # of views; increase # of likes</t>
  </si>
  <si>
    <t>Shan &amp; Qiu, 2023</t>
  </si>
  <si>
    <t>Answerer</t>
  </si>
  <si>
    <t>user-day</t>
  </si>
  <si>
    <t>Su et al., 2023</t>
  </si>
  <si>
    <t>Quora</t>
  </si>
  <si>
    <t>Internal GenAI</t>
  </si>
  <si>
    <t>question-week</t>
  </si>
  <si>
    <t>Xue et al., 2023</t>
  </si>
  <si>
    <t>topic-day</t>
  </si>
  <si>
    <t>Li &amp; Kim, 2024</t>
  </si>
  <si>
    <t>Reduce # of answers</t>
  </si>
  <si>
    <t>Reduce # of likes</t>
  </si>
  <si>
    <t>Wang &amp; Zheng, 2024</t>
  </si>
  <si>
    <t>Increase # of questions</t>
  </si>
  <si>
    <t>Increase # of views</t>
  </si>
  <si>
    <t>Increase # of answers; make answers shorter and easier to read</t>
  </si>
  <si>
    <t>Make answers shorter, more negative and harder to read</t>
  </si>
  <si>
    <t>Reduce # of questions; make questions more difficult to read</t>
  </si>
  <si>
    <t>Reduce # of answers; make answers longer, more difficult to read</t>
  </si>
  <si>
    <t>Reduce # of questions; make questions longer, more difficult to read</t>
  </si>
  <si>
    <t>Increase # of answers; make answers longer and similar to AI answers</t>
  </si>
  <si>
    <t>Increase # of answers; increase acceptance ratio of answers</t>
  </si>
  <si>
    <t>Reduce # of questions; make questions higher quality (simpler questions disappear)</t>
  </si>
  <si>
    <t>Increase question quality</t>
  </si>
  <si>
    <t>- Length is a fast signal (routine assessment) 
- "Intensity matching" converts physical volume into perceived barrier.
- When perceived cost exceeds perceived benefit, System 1 flips</t>
  </si>
  <si>
    <t>- AI Label is a fast signal, zero-cost "routine assessment". 
- Cause negative emotion (new competitor -&gt; threat, low-quality AI at the time as "availability heuristic" -&gt; 不屑)
- "exaggerated emotional coherence" -&gt; weak competitor
- what's more? "Overconfidence"</t>
  </si>
  <si>
    <t>- AI label through system 1 output negative affect towards AI. Affect persists as continuous background "mood".
- "Law of least effort" lowers the effort.
- "Anchoring prevents sufficient adjustment", even for slow decision</t>
  </si>
  <si>
    <t>- Quality is a slow signal—inaccessible without deliberate reading. 
- High quality triggers "surprise", forcing System 2 to override.
- what's more, professional identity threat is "sufficiently important" to activate System 2</t>
  </si>
  <si>
    <t>-0.198 *</t>
  </si>
  <si>
    <t>0.304 **</t>
  </si>
  <si>
    <t>-0.058 ***</t>
  </si>
  <si>
    <t>0.029</t>
  </si>
  <si>
    <t>(0.149)</t>
  </si>
  <si>
    <t>(0.025)</t>
  </si>
  <si>
    <t>-0.060</t>
  </si>
  <si>
    <t>(0.064)</t>
  </si>
  <si>
    <t>(0.088)</t>
  </si>
  <si>
    <t>difficult questions</t>
  </si>
  <si>
    <t>easy questions</t>
  </si>
  <si>
    <t>2,373</t>
  </si>
  <si>
    <t>1,230</t>
  </si>
  <si>
    <t>-0.002</t>
  </si>
  <si>
    <t>-0.031 *</t>
  </si>
  <si>
    <t>0.382 ***</t>
  </si>
  <si>
    <t>0.330 ***</t>
  </si>
  <si>
    <t>1,365</t>
  </si>
  <si>
    <t>1,320</t>
  </si>
  <si>
    <t>expert first answer</t>
  </si>
  <si>
    <t>rookie first answer</t>
  </si>
  <si>
    <t>difficult question -&gt; AI weak competitor -&gt; let me answer</t>
  </si>
  <si>
    <t>easy question -&gt; AI even weak still enough</t>
  </si>
  <si>
    <t>difficult question + AI lengthy -&gt; may be comprehensive -&gt; deter</t>
  </si>
  <si>
    <t>easy question + AI length -&gt; AI is enough</t>
  </si>
  <si>
    <t>overconfidence</t>
  </si>
  <si>
    <t>expert -&gt; facing surprise, stronger identity threat</t>
  </si>
  <si>
    <t>Expert are not affected by length, rookie regard length as low-quality heuristic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</si>
</sst>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  <font>
      <sz val="16"/>
      <color rgb="FF000000"/>
      <name val="Calibri Light"/>
      <family val="2"/>
    </font>
    <font>
      <b/>
      <sz val="16"/>
      <color rgb="FF000000"/>
      <name val="Calibri Light"/>
      <family val="2"/>
    </font>
    <font>
      <sz val="10"/>
      <color theme="1"/>
      <name val="DengXian"/>
      <family val="4"/>
      <charset val="134"/>
    </font>
    <font>
      <i/>
      <sz val="10"/>
      <color theme="1"/>
      <name val="Times New Roman"/>
      <family val="1"/>
    </font>
    <font>
      <i/>
      <vertAlign val="subscript"/>
      <sz val="10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DengXian"/>
      <family val="4"/>
      <charset val="134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vertAlign val="subscript"/>
      <sz val="11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C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9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wrapText="1"/>
    </xf>
    <xf numFmtId="0" fontId="9" fillId="0" borderId="7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49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 readingOrder="1"/>
    </xf>
    <xf numFmtId="49" fontId="0" fillId="0" borderId="0" xfId="0" applyNumberFormat="1" applyAlignment="1">
      <alignment wrapText="1"/>
    </xf>
    <xf numFmtId="0" fontId="0" fillId="4" borderId="0" xfId="0" applyFill="1"/>
    <xf numFmtId="0" fontId="0" fillId="4" borderId="0" xfId="0" applyFill="1" applyAlignment="1">
      <alignment wrapText="1"/>
    </xf>
    <xf numFmtId="0" fontId="14" fillId="4" borderId="0" xfId="0" applyFont="1" applyFill="1" applyAlignment="1">
      <alignment horizontal="lef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left" vertical="center" wrapText="1" readingOrder="1"/>
    </xf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 applyAlignment="1">
      <alignment horizontal="left" vertical="center"/>
    </xf>
    <xf numFmtId="49" fontId="4" fillId="5" borderId="6" xfId="0" applyNumberFormat="1" applyFont="1" applyFill="1" applyBorder="1" applyAlignment="1">
      <alignment vertical="top"/>
    </xf>
    <xf numFmtId="49" fontId="6" fillId="5" borderId="6" xfId="0" applyNumberFormat="1" applyFont="1" applyFill="1" applyBorder="1" applyAlignment="1">
      <alignment horizontal="center" vertical="center"/>
    </xf>
    <xf numFmtId="49" fontId="4" fillId="5" borderId="0" xfId="0" applyNumberFormat="1" applyFont="1" applyFill="1" applyAlignment="1">
      <alignment horizontal="left" vertical="center"/>
    </xf>
    <xf numFmtId="49" fontId="6" fillId="5" borderId="0" xfId="0" applyNumberFormat="1" applyFont="1" applyFill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vertical="center"/>
    </xf>
    <xf numFmtId="49" fontId="6" fillId="5" borderId="5" xfId="0" applyNumberFormat="1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vertical="center"/>
    </xf>
    <xf numFmtId="0" fontId="6" fillId="5" borderId="5" xfId="0" applyFont="1" applyFill="1" applyBorder="1" applyAlignment="1">
      <alignment vertical="center"/>
    </xf>
    <xf numFmtId="0" fontId="6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3" fontId="5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vertical="top"/>
    </xf>
    <xf numFmtId="0" fontId="15" fillId="5" borderId="0" xfId="0" applyFont="1" applyFill="1"/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3" fontId="5" fillId="5" borderId="5" xfId="0" applyNumberFormat="1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0" fontId="17" fillId="5" borderId="0" xfId="0" applyFont="1" applyFill="1" applyAlignment="1">
      <alignment horizontal="center" vertical="center" wrapText="1"/>
    </xf>
    <xf numFmtId="0" fontId="17" fillId="5" borderId="5" xfId="0" applyFont="1" applyFill="1" applyBorder="1" applyAlignment="1">
      <alignment vertical="center"/>
    </xf>
    <xf numFmtId="0" fontId="9" fillId="6" borderId="0" xfId="0" applyFont="1" applyFill="1" applyAlignment="1">
      <alignment horizontal="left" vertical="center" wrapText="1" readingOrder="1"/>
    </xf>
    <xf numFmtId="0" fontId="0" fillId="6" borderId="0" xfId="0" applyFill="1"/>
    <xf numFmtId="49" fontId="6" fillId="6" borderId="6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wrapText="1"/>
    </xf>
    <xf numFmtId="49" fontId="6" fillId="6" borderId="0" xfId="0" applyNumberFormat="1" applyFont="1" applyFill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3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49" fontId="0" fillId="4" borderId="0" xfId="0" applyNumberFormat="1" applyFill="1"/>
    <xf numFmtId="0" fontId="5" fillId="4" borderId="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top" wrapText="1"/>
    </xf>
    <xf numFmtId="0" fontId="6" fillId="4" borderId="0" xfId="0" applyFont="1" applyFill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3" fontId="5" fillId="4" borderId="5" xfId="0" applyNumberFormat="1" applyFont="1" applyFill="1" applyBorder="1" applyAlignment="1">
      <alignment horizontal="center" vertical="center" wrapText="1"/>
    </xf>
    <xf numFmtId="49" fontId="0" fillId="4" borderId="0" xfId="0" applyNumberFormat="1" applyFill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/>
    <xf numFmtId="0" fontId="22" fillId="0" borderId="1" xfId="0" applyFont="1" applyBorder="1" applyAlignment="1">
      <alignment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24" fillId="0" borderId="1" xfId="0" applyFont="1" applyBorder="1" applyAlignment="1">
      <alignment wrapText="1"/>
    </xf>
    <xf numFmtId="0" fontId="22" fillId="0" borderId="1" xfId="0" applyFont="1" applyBorder="1"/>
    <xf numFmtId="0" fontId="10" fillId="0" borderId="1" xfId="0" applyFont="1" applyBorder="1" applyAlignment="1">
      <alignment horizontal="left" vertical="center" wrapText="1" readingOrder="1"/>
    </xf>
    <xf numFmtId="49" fontId="9" fillId="0" borderId="9" xfId="0" applyNumberFormat="1" applyFont="1" applyBorder="1" applyAlignment="1">
      <alignment horizontal="left" vertical="center" wrapText="1" readingOrder="1"/>
    </xf>
    <xf numFmtId="0" fontId="25" fillId="0" borderId="0" xfId="0" applyFont="1"/>
    <xf numFmtId="0" fontId="0" fillId="0" borderId="1" xfId="0" applyBorder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justify" vertical="center"/>
    </xf>
    <xf numFmtId="0" fontId="27" fillId="0" borderId="0" xfId="0" applyFont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8" fillId="0" borderId="5" xfId="0" applyFont="1" applyBorder="1" applyAlignment="1">
      <alignment horizontal="justify" vertical="center"/>
    </xf>
    <xf numFmtId="0" fontId="28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0" fontId="7" fillId="5" borderId="0" xfId="0" applyFont="1" applyFill="1" applyAlignment="1">
      <alignment vertical="center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49" fontId="6" fillId="5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20" fillId="0" borderId="0" xfId="0" applyFont="1" applyAlignment="1">
      <alignment horizontal="center" vertical="center" wrapText="1"/>
    </xf>
    <xf numFmtId="0" fontId="12" fillId="5" borderId="5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 readingOrder="1"/>
    </xf>
    <xf numFmtId="0" fontId="17" fillId="6" borderId="6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vertical="center" wrapText="1"/>
    </xf>
    <xf numFmtId="0" fontId="12" fillId="4" borderId="5" xfId="0" applyFont="1" applyFill="1" applyBorder="1" applyAlignment="1">
      <alignment vertical="center" wrapText="1"/>
    </xf>
    <xf numFmtId="0" fontId="5" fillId="5" borderId="0" xfId="0" applyFont="1" applyFill="1" applyAlignment="1">
      <alignment vertical="center"/>
    </xf>
    <xf numFmtId="0" fontId="5" fillId="5" borderId="5" xfId="0" applyFont="1" applyFill="1" applyBorder="1" applyAlignment="1">
      <alignment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justify" vertical="center"/>
    </xf>
    <xf numFmtId="0" fontId="28" fillId="0" borderId="0" xfId="0" applyFont="1" applyAlignment="1">
      <alignment horizontal="justify" vertical="center"/>
    </xf>
    <xf numFmtId="49" fontId="5" fillId="0" borderId="0" xfId="0" applyNumberFormat="1" applyFont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justify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0" fillId="6" borderId="0" xfId="0" applyNumberFormat="1" applyFill="1" applyAlignment="1">
      <alignment wrapText="1"/>
    </xf>
    <xf numFmtId="49" fontId="4" fillId="5" borderId="0" xfId="0" applyNumberFormat="1" applyFont="1" applyFill="1" applyAlignment="1">
      <alignment horizontal="center" vertical="center"/>
    </xf>
    <xf numFmtId="49" fontId="4" fillId="6" borderId="6" xfId="0" applyNumberFormat="1" applyFont="1" applyFill="1" applyBorder="1" applyAlignment="1">
      <alignment vertical="top"/>
    </xf>
    <xf numFmtId="49" fontId="4" fillId="6" borderId="0" xfId="0" applyNumberFormat="1" applyFont="1" applyFill="1" applyAlignment="1">
      <alignment horizontal="center" vertical="center"/>
    </xf>
    <xf numFmtId="49" fontId="4" fillId="6" borderId="0" xfId="0" applyNumberFormat="1" applyFont="1" applyFill="1" applyAlignment="1">
      <alignment horizontal="left" vertical="center"/>
    </xf>
    <xf numFmtId="0" fontId="7" fillId="6" borderId="0" xfId="0" applyFont="1" applyFill="1" applyAlignment="1">
      <alignment vertical="center"/>
    </xf>
    <xf numFmtId="0" fontId="7" fillId="6" borderId="5" xfId="0" applyFont="1" applyFill="1" applyBorder="1" applyAlignment="1">
      <alignment vertical="center"/>
    </xf>
    <xf numFmtId="49" fontId="6" fillId="6" borderId="0" xfId="0" applyNumberFormat="1" applyFont="1" applyFill="1" applyAlignment="1">
      <alignment vertical="center"/>
    </xf>
    <xf numFmtId="49" fontId="6" fillId="6" borderId="5" xfId="0" applyNumberFormat="1" applyFont="1" applyFill="1" applyBorder="1" applyAlignment="1">
      <alignment vertical="center"/>
    </xf>
    <xf numFmtId="0" fontId="0" fillId="5" borderId="0" xfId="0" applyFill="1" applyAlignment="1"/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D4C-7048-B0B0-097CACF67255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AF-DA4D-8724-9A418F2CB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0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84</xdr:row>
      <xdr:rowOff>0</xdr:rowOff>
    </xdr:from>
    <xdr:to>
      <xdr:col>10</xdr:col>
      <xdr:colOff>88900</xdr:colOff>
      <xdr:row>84</xdr:row>
      <xdr:rowOff>177800</xdr:rowOff>
    </xdr:to>
    <xdr:pic>
      <xdr:nvPicPr>
        <xdr:cNvPr id="4097" name="Picture 1">
          <a:extLst>
            <a:ext uri="{FF2B5EF4-FFF2-40B4-BE49-F238E27FC236}">
              <a16:creationId xmlns:a16="http://schemas.microsoft.com/office/drawing/2014/main" id="{8AA38731-6B98-D316-7D19-E478C0C61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49500" y="21082000"/>
          <a:ext cx="889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83</xdr:row>
      <xdr:rowOff>0</xdr:rowOff>
    </xdr:from>
    <xdr:to>
      <xdr:col>11</xdr:col>
      <xdr:colOff>152400</xdr:colOff>
      <xdr:row>83</xdr:row>
      <xdr:rowOff>165100</xdr:rowOff>
    </xdr:to>
    <xdr:pic>
      <xdr:nvPicPr>
        <xdr:cNvPr id="4098" name="Picture 2">
          <a:extLst>
            <a:ext uri="{FF2B5EF4-FFF2-40B4-BE49-F238E27FC236}">
              <a16:creationId xmlns:a16="http://schemas.microsoft.com/office/drawing/2014/main" id="{6F967735-B6DA-8C2D-8489-66D2AB2A2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84600" y="20802600"/>
          <a:ext cx="152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0</xdr:colOff>
      <xdr:row>83</xdr:row>
      <xdr:rowOff>0</xdr:rowOff>
    </xdr:from>
    <xdr:to>
      <xdr:col>12</xdr:col>
      <xdr:colOff>279400</xdr:colOff>
      <xdr:row>83</xdr:row>
      <xdr:rowOff>165100</xdr:rowOff>
    </xdr:to>
    <xdr:pic>
      <xdr:nvPicPr>
        <xdr:cNvPr id="4099" name="Picture 3">
          <a:extLst>
            <a:ext uri="{FF2B5EF4-FFF2-40B4-BE49-F238E27FC236}">
              <a16:creationId xmlns:a16="http://schemas.microsoft.com/office/drawing/2014/main" id="{C320F611-D4C3-D5B1-576D-AD226F99F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19700" y="208026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0</xdr:colOff>
      <xdr:row>84</xdr:row>
      <xdr:rowOff>0</xdr:rowOff>
    </xdr:from>
    <xdr:to>
      <xdr:col>13</xdr:col>
      <xdr:colOff>139700</xdr:colOff>
      <xdr:row>84</xdr:row>
      <xdr:rowOff>165100</xdr:rowOff>
    </xdr:to>
    <xdr:pic>
      <xdr:nvPicPr>
        <xdr:cNvPr id="4100" name="Picture 4">
          <a:extLst>
            <a:ext uri="{FF2B5EF4-FFF2-40B4-BE49-F238E27FC236}">
              <a16:creationId xmlns:a16="http://schemas.microsoft.com/office/drawing/2014/main" id="{7BD0F9AF-A9E3-E1AC-21CC-1C13E3D40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96100" y="21082000"/>
          <a:ext cx="1397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83</xdr:row>
      <xdr:rowOff>0</xdr:rowOff>
    </xdr:from>
    <xdr:to>
      <xdr:col>14</xdr:col>
      <xdr:colOff>76200</xdr:colOff>
      <xdr:row>83</xdr:row>
      <xdr:rowOff>165100</xdr:rowOff>
    </xdr:to>
    <xdr:pic>
      <xdr:nvPicPr>
        <xdr:cNvPr id="4101" name="Picture 5">
          <a:extLst>
            <a:ext uri="{FF2B5EF4-FFF2-40B4-BE49-F238E27FC236}">
              <a16:creationId xmlns:a16="http://schemas.microsoft.com/office/drawing/2014/main" id="{1B6428B2-AD1D-D7E2-C3AE-F4B51B77B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0802600"/>
          <a:ext cx="762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84</xdr:row>
      <xdr:rowOff>0</xdr:rowOff>
    </xdr:from>
    <xdr:to>
      <xdr:col>14</xdr:col>
      <xdr:colOff>279400</xdr:colOff>
      <xdr:row>84</xdr:row>
      <xdr:rowOff>165100</xdr:rowOff>
    </xdr:to>
    <xdr:pic>
      <xdr:nvPicPr>
        <xdr:cNvPr id="4102" name="Picture 6">
          <a:extLst>
            <a:ext uri="{FF2B5EF4-FFF2-40B4-BE49-F238E27FC236}">
              <a16:creationId xmlns:a16="http://schemas.microsoft.com/office/drawing/2014/main" id="{CD7D4A9A-CAB4-1732-EF96-112697778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10820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50800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13</xdr:row>
      <xdr:rowOff>50800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8392-57F3-DA44-A638-CAE1AE9DCA0E}">
  <dimension ref="B2:D11"/>
  <sheetViews>
    <sheetView topLeftCell="A3" zoomScale="140" zoomScaleNormal="140" workbookViewId="0">
      <selection activeCell="D12" sqref="D12"/>
    </sheetView>
  </sheetViews>
  <sheetFormatPr baseColWidth="10" defaultRowHeight="16" x14ac:dyDescent="0.2"/>
  <cols>
    <col min="1" max="1" width="10.83203125" style="26"/>
    <col min="2" max="2" width="21.83203125" style="26" bestFit="1" customWidth="1"/>
    <col min="3" max="3" width="74" style="26" customWidth="1"/>
    <col min="4" max="4" width="88" style="26" customWidth="1"/>
    <col min="5" max="16384" width="10.83203125" style="26"/>
  </cols>
  <sheetData>
    <row r="2" spans="2:4" x14ac:dyDescent="0.2">
      <c r="C2" s="105" t="s">
        <v>485</v>
      </c>
    </row>
    <row r="4" spans="2:4" ht="17" thickBot="1" x14ac:dyDescent="0.25"/>
    <row r="5" spans="2:4" ht="23" thickBot="1" x14ac:dyDescent="0.25">
      <c r="B5" s="27" t="s">
        <v>388</v>
      </c>
      <c r="C5" s="27" t="s">
        <v>389</v>
      </c>
      <c r="D5" s="27" t="s">
        <v>390</v>
      </c>
    </row>
    <row r="6" spans="2:4" ht="22" x14ac:dyDescent="0.2">
      <c r="B6" s="120" t="s">
        <v>391</v>
      </c>
      <c r="C6" s="28" t="s">
        <v>392</v>
      </c>
      <c r="D6" s="28" t="s">
        <v>393</v>
      </c>
    </row>
    <row r="7" spans="2:4" ht="111" thickBot="1" x14ac:dyDescent="0.25">
      <c r="B7" s="121"/>
      <c r="C7" s="104" t="s">
        <v>543</v>
      </c>
      <c r="D7" s="104" t="s">
        <v>544</v>
      </c>
    </row>
    <row r="8" spans="2:4" ht="22" x14ac:dyDescent="0.2">
      <c r="B8" s="120" t="s">
        <v>394</v>
      </c>
      <c r="C8" s="28" t="s">
        <v>398</v>
      </c>
      <c r="D8" s="120" t="s">
        <v>395</v>
      </c>
    </row>
    <row r="9" spans="2:4" ht="89" thickBot="1" x14ac:dyDescent="0.25">
      <c r="B9" s="121"/>
      <c r="C9" s="104" t="s">
        <v>542</v>
      </c>
      <c r="D9" s="121"/>
    </row>
    <row r="10" spans="2:4" ht="22" x14ac:dyDescent="0.2">
      <c r="B10" s="120" t="s">
        <v>396</v>
      </c>
      <c r="C10" s="120" t="s">
        <v>395</v>
      </c>
      <c r="D10" s="28" t="s">
        <v>397</v>
      </c>
    </row>
    <row r="11" spans="2:4" ht="89" thickBot="1" x14ac:dyDescent="0.25">
      <c r="B11" s="121"/>
      <c r="C11" s="121"/>
      <c r="D11" s="104" t="s">
        <v>545</v>
      </c>
    </row>
  </sheetData>
  <mergeCells count="5">
    <mergeCell ref="B6:B7"/>
    <mergeCell ref="B8:B9"/>
    <mergeCell ref="D8:D9"/>
    <mergeCell ref="B10:B11"/>
    <mergeCell ref="C10:C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0E32-A59B-9548-9A1A-62B4C8E80AF6}">
  <dimension ref="B2:F22"/>
  <sheetViews>
    <sheetView workbookViewId="0">
      <selection activeCell="E9" sqref="E9"/>
    </sheetView>
  </sheetViews>
  <sheetFormatPr baseColWidth="10" defaultRowHeight="22" x14ac:dyDescent="0.3"/>
  <cols>
    <col min="1" max="1" width="10.83203125" style="97"/>
    <col min="2" max="2" width="22.1640625" style="97" bestFit="1" customWidth="1"/>
    <col min="3" max="3" width="45" style="97" customWidth="1"/>
    <col min="4" max="4" width="77" style="96" bestFit="1" customWidth="1"/>
    <col min="5" max="5" width="80.1640625" style="96" customWidth="1"/>
    <col min="6" max="6" width="89.5" style="97" customWidth="1"/>
    <col min="7" max="16384" width="10.83203125" style="97"/>
  </cols>
  <sheetData>
    <row r="2" spans="2:6" x14ac:dyDescent="0.3">
      <c r="B2" s="118"/>
      <c r="C2" s="118"/>
      <c r="D2" s="103" t="s">
        <v>389</v>
      </c>
      <c r="E2" s="103" t="s">
        <v>390</v>
      </c>
      <c r="F2" s="103" t="s">
        <v>465</v>
      </c>
    </row>
    <row r="3" spans="2:6" ht="46" x14ac:dyDescent="0.3">
      <c r="B3" s="115" t="s">
        <v>462</v>
      </c>
      <c r="C3" s="115"/>
      <c r="D3" s="98" t="s">
        <v>469</v>
      </c>
      <c r="E3" s="98" t="s">
        <v>470</v>
      </c>
      <c r="F3" s="99"/>
    </row>
    <row r="4" spans="2:6" ht="46" customHeight="1" x14ac:dyDescent="0.3">
      <c r="B4" s="117" t="s">
        <v>466</v>
      </c>
      <c r="C4" s="99" t="s">
        <v>467</v>
      </c>
      <c r="D4" s="100" t="s">
        <v>481</v>
      </c>
      <c r="E4" s="100" t="s">
        <v>482</v>
      </c>
      <c r="F4" s="99"/>
    </row>
    <row r="5" spans="2:6" ht="69" x14ac:dyDescent="0.3">
      <c r="B5" s="117"/>
      <c r="C5" s="99" t="s">
        <v>468</v>
      </c>
      <c r="D5" s="98" t="s">
        <v>471</v>
      </c>
      <c r="E5" s="100"/>
      <c r="F5" s="99"/>
    </row>
    <row r="6" spans="2:6" ht="46" customHeight="1" x14ac:dyDescent="0.3">
      <c r="B6" s="117"/>
      <c r="C6" s="100" t="s">
        <v>472</v>
      </c>
      <c r="D6" s="100"/>
      <c r="E6" s="100" t="s">
        <v>473</v>
      </c>
      <c r="F6" s="99"/>
    </row>
    <row r="7" spans="2:6" ht="23" customHeight="1" x14ac:dyDescent="0.3">
      <c r="B7" s="119" t="s">
        <v>474</v>
      </c>
      <c r="C7" s="116" t="s">
        <v>475</v>
      </c>
      <c r="D7" s="100"/>
      <c r="E7" s="101" t="s">
        <v>476</v>
      </c>
      <c r="F7" s="99"/>
    </row>
    <row r="8" spans="2:6" ht="23" x14ac:dyDescent="0.3">
      <c r="B8" s="119"/>
      <c r="C8" s="116"/>
      <c r="D8" s="100"/>
      <c r="E8" s="98" t="s">
        <v>477</v>
      </c>
      <c r="F8" s="99"/>
    </row>
    <row r="9" spans="2:6" x14ac:dyDescent="0.3">
      <c r="B9" s="119"/>
      <c r="C9" s="99" t="s">
        <v>478</v>
      </c>
      <c r="D9" s="100"/>
      <c r="E9" s="100"/>
      <c r="F9" s="99"/>
    </row>
    <row r="10" spans="2:6" x14ac:dyDescent="0.3">
      <c r="B10" s="119"/>
      <c r="C10" s="99" t="s">
        <v>479</v>
      </c>
      <c r="D10" s="100"/>
      <c r="E10" s="100"/>
      <c r="F10" s="102" t="s">
        <v>480</v>
      </c>
    </row>
    <row r="11" spans="2:6" x14ac:dyDescent="0.3">
      <c r="B11" s="119"/>
      <c r="C11" s="99" t="s">
        <v>483</v>
      </c>
      <c r="D11" s="100"/>
      <c r="E11" s="100"/>
      <c r="F11" s="102" t="s">
        <v>484</v>
      </c>
    </row>
    <row r="12" spans="2:6" x14ac:dyDescent="0.3">
      <c r="B12" s="119"/>
      <c r="C12" s="99"/>
      <c r="D12" s="106" t="s">
        <v>486</v>
      </c>
      <c r="E12" s="100"/>
      <c r="F12" s="99"/>
    </row>
    <row r="13" spans="2:6" x14ac:dyDescent="0.3">
      <c r="B13" s="119"/>
      <c r="C13" s="99"/>
      <c r="D13" s="100"/>
      <c r="E13" s="106" t="s">
        <v>487</v>
      </c>
      <c r="F13" s="99"/>
    </row>
    <row r="14" spans="2:6" x14ac:dyDescent="0.3">
      <c r="B14" s="119"/>
      <c r="C14" s="99"/>
      <c r="D14" s="100"/>
      <c r="E14" s="100"/>
      <c r="F14" s="106" t="s">
        <v>488</v>
      </c>
    </row>
    <row r="15" spans="2:6" x14ac:dyDescent="0.3">
      <c r="B15" s="119"/>
      <c r="C15" s="99"/>
      <c r="D15" s="106" t="s">
        <v>489</v>
      </c>
      <c r="E15" s="100"/>
      <c r="F15" s="99"/>
    </row>
    <row r="22" spans="4:4" x14ac:dyDescent="0.3">
      <c r="D22"/>
    </row>
  </sheetData>
  <mergeCells count="5">
    <mergeCell ref="B3:C3"/>
    <mergeCell ref="C7:C8"/>
    <mergeCell ref="B4:B6"/>
    <mergeCell ref="B2:C2"/>
    <mergeCell ref="B7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D18A-C464-364C-95F7-F927C76322D3}">
  <dimension ref="B2:AI89"/>
  <sheetViews>
    <sheetView tabSelected="1" topLeftCell="C1" zoomScale="90" zoomScaleNormal="90" workbookViewId="0">
      <selection activeCell="R23" sqref="R23"/>
    </sheetView>
  </sheetViews>
  <sheetFormatPr baseColWidth="10" defaultRowHeight="22" x14ac:dyDescent="0.3"/>
  <cols>
    <col min="2" max="2" width="21.83203125" style="96" bestFit="1" customWidth="1"/>
    <col min="3" max="3" width="21.6640625" style="39" bestFit="1" customWidth="1"/>
    <col min="4" max="5" width="21.6640625" style="39" customWidth="1"/>
    <col min="6" max="7" width="18.83203125" style="39" customWidth="1"/>
    <col min="8" max="9" width="21.6640625" style="39" customWidth="1"/>
    <col min="10" max="12" width="18.83203125" style="39" customWidth="1"/>
    <col min="13" max="13" width="22" style="75" customWidth="1"/>
    <col min="14" max="14" width="24" style="75" customWidth="1"/>
    <col min="15" max="16" width="21.6640625" style="75" customWidth="1"/>
    <col min="17" max="18" width="18.83203125" style="75" customWidth="1"/>
    <col min="19" max="19" width="10.83203125" style="32"/>
    <col min="20" max="20" width="14.33203125" style="32" bestFit="1" customWidth="1"/>
    <col min="21" max="26" width="10.83203125" style="32"/>
    <col min="27" max="27" width="10.83203125" style="84"/>
    <col min="28" max="35" width="10.83203125" style="1"/>
  </cols>
  <sheetData>
    <row r="2" spans="2:27" x14ac:dyDescent="0.2">
      <c r="B2" s="30" t="s">
        <v>388</v>
      </c>
      <c r="C2" s="123" t="s">
        <v>389</v>
      </c>
      <c r="D2" s="123"/>
      <c r="E2" s="123"/>
      <c r="F2" s="123"/>
      <c r="G2" s="123"/>
      <c r="H2" s="123"/>
      <c r="I2" s="123"/>
      <c r="J2" s="123"/>
      <c r="K2" s="123"/>
      <c r="L2" s="123"/>
      <c r="M2" s="124" t="s">
        <v>390</v>
      </c>
      <c r="N2" s="124"/>
      <c r="O2" s="124"/>
      <c r="P2" s="124"/>
      <c r="Q2" s="124"/>
      <c r="R2" s="124"/>
      <c r="S2" s="137" t="s">
        <v>461</v>
      </c>
      <c r="T2" s="137"/>
      <c r="U2" s="137"/>
      <c r="V2" s="137"/>
      <c r="W2" s="137"/>
      <c r="X2" s="137"/>
      <c r="Y2" s="137"/>
      <c r="Z2" s="137"/>
      <c r="AA2" s="137"/>
    </row>
    <row r="3" spans="2:27" ht="21" x14ac:dyDescent="0.2">
      <c r="B3" s="133" t="s">
        <v>462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72"/>
      <c r="N3" s="72"/>
      <c r="O3" s="72"/>
      <c r="P3" s="72"/>
      <c r="Q3" s="72"/>
      <c r="R3" s="72"/>
    </row>
    <row r="4" spans="2:27" ht="21" x14ac:dyDescent="0.2">
      <c r="B4" s="134"/>
      <c r="C4" s="37"/>
      <c r="D4" s="38"/>
      <c r="E4" s="38"/>
      <c r="F4" s="38"/>
      <c r="G4" s="38"/>
      <c r="H4" s="38"/>
      <c r="J4" s="40" t="s">
        <v>421</v>
      </c>
      <c r="K4" s="38"/>
      <c r="L4" s="38"/>
      <c r="M4" s="73"/>
      <c r="N4" s="73"/>
      <c r="O4" s="72"/>
      <c r="P4" s="72"/>
      <c r="Q4" s="72"/>
      <c r="R4" s="72"/>
      <c r="T4" s="34" t="s">
        <v>452</v>
      </c>
    </row>
    <row r="5" spans="2:27" ht="21" customHeight="1" x14ac:dyDescent="0.2">
      <c r="B5" s="134"/>
      <c r="C5" s="37"/>
      <c r="D5" s="38"/>
      <c r="E5" s="38"/>
      <c r="F5" s="38"/>
      <c r="G5" s="38"/>
      <c r="H5" s="38"/>
      <c r="J5" s="41"/>
      <c r="K5" s="42" t="s">
        <v>340</v>
      </c>
      <c r="L5" s="42" t="s">
        <v>341</v>
      </c>
      <c r="M5" s="74" t="s">
        <v>342</v>
      </c>
      <c r="N5" s="74" t="s">
        <v>343</v>
      </c>
      <c r="O5" s="72"/>
      <c r="P5" s="72"/>
      <c r="Q5" s="72"/>
      <c r="R5" s="72"/>
      <c r="T5" s="85"/>
      <c r="U5" s="35" t="s">
        <v>340</v>
      </c>
      <c r="V5" s="35" t="s">
        <v>341</v>
      </c>
      <c r="W5" s="35" t="s">
        <v>342</v>
      </c>
      <c r="X5" s="35" t="s">
        <v>343</v>
      </c>
      <c r="Y5" s="35" t="s">
        <v>419</v>
      </c>
    </row>
    <row r="6" spans="2:27" ht="16" customHeight="1" x14ac:dyDescent="0.2">
      <c r="B6" s="134"/>
      <c r="D6" s="38"/>
      <c r="E6" s="38"/>
      <c r="F6" s="38"/>
      <c r="G6" s="38"/>
      <c r="H6" s="38"/>
      <c r="J6" s="43" t="s">
        <v>388</v>
      </c>
      <c r="K6" s="125" t="s">
        <v>399</v>
      </c>
      <c r="L6" s="125"/>
      <c r="M6" s="126" t="s">
        <v>400</v>
      </c>
      <c r="N6" s="126"/>
      <c r="T6" s="140" t="s">
        <v>345</v>
      </c>
      <c r="U6" s="141" t="s">
        <v>458</v>
      </c>
      <c r="V6" s="141"/>
      <c r="W6" s="141"/>
      <c r="X6" s="86" t="s">
        <v>459</v>
      </c>
      <c r="Y6" s="86" t="s">
        <v>460</v>
      </c>
    </row>
    <row r="7" spans="2:27" ht="16" x14ac:dyDescent="0.2">
      <c r="B7" s="134"/>
      <c r="D7" s="38"/>
      <c r="E7" s="38"/>
      <c r="F7" s="38"/>
      <c r="G7" s="38"/>
      <c r="H7" s="38"/>
      <c r="J7" s="122" t="s">
        <v>334</v>
      </c>
      <c r="K7" s="44" t="s">
        <v>6</v>
      </c>
      <c r="L7" s="44" t="s">
        <v>67</v>
      </c>
      <c r="M7" s="76" t="s">
        <v>41</v>
      </c>
      <c r="N7" s="76" t="s">
        <v>387</v>
      </c>
      <c r="T7" s="140"/>
      <c r="U7" s="87" t="s">
        <v>449</v>
      </c>
      <c r="V7" s="36" t="s">
        <v>450</v>
      </c>
      <c r="W7" s="36" t="s">
        <v>451</v>
      </c>
      <c r="X7" s="88"/>
      <c r="Y7" s="88"/>
    </row>
    <row r="8" spans="2:27" ht="16" customHeight="1" x14ac:dyDescent="0.2">
      <c r="B8" s="134"/>
      <c r="D8" s="38"/>
      <c r="E8" s="38"/>
      <c r="F8" s="38"/>
      <c r="G8" s="38"/>
      <c r="H8" s="38"/>
      <c r="J8" s="122"/>
      <c r="K8" s="44" t="s">
        <v>16</v>
      </c>
      <c r="L8" s="44" t="s">
        <v>30</v>
      </c>
      <c r="M8" s="76" t="s">
        <v>383</v>
      </c>
      <c r="N8" s="76" t="s">
        <v>88</v>
      </c>
      <c r="T8" s="142" t="s">
        <v>403</v>
      </c>
      <c r="U8" s="86">
        <v>-0.01</v>
      </c>
      <c r="V8" s="89">
        <v>-2E-3</v>
      </c>
      <c r="W8" s="89">
        <v>-8.9999999999999993E-3</v>
      </c>
      <c r="X8" s="86">
        <v>-3.9E-2</v>
      </c>
      <c r="Y8" s="86">
        <v>-8.9999999999999993E-3</v>
      </c>
    </row>
    <row r="9" spans="2:27" ht="16" x14ac:dyDescent="0.2">
      <c r="B9" s="134"/>
      <c r="D9" s="38"/>
      <c r="E9" s="38"/>
      <c r="F9" s="38"/>
      <c r="G9" s="38"/>
      <c r="H9" s="38"/>
      <c r="J9" s="122" t="s">
        <v>401</v>
      </c>
      <c r="K9" s="44"/>
      <c r="L9" s="44" t="s">
        <v>76</v>
      </c>
      <c r="M9" s="76"/>
      <c r="N9" s="76" t="s">
        <v>384</v>
      </c>
      <c r="T9" s="143"/>
      <c r="U9" s="90" t="s">
        <v>453</v>
      </c>
      <c r="V9" s="91" t="s">
        <v>454</v>
      </c>
      <c r="W9" s="91" t="s">
        <v>454</v>
      </c>
      <c r="X9" s="90" t="s">
        <v>222</v>
      </c>
      <c r="Y9" s="90" t="s">
        <v>29</v>
      </c>
    </row>
    <row r="10" spans="2:27" ht="16" customHeight="1" x14ac:dyDescent="0.2">
      <c r="B10" s="134"/>
      <c r="D10" s="38"/>
      <c r="E10" s="38"/>
      <c r="F10" s="38"/>
      <c r="G10" s="38"/>
      <c r="H10" s="38"/>
      <c r="J10" s="122"/>
      <c r="K10" s="44"/>
      <c r="L10" s="44" t="s">
        <v>26</v>
      </c>
      <c r="M10" s="76"/>
      <c r="N10" s="76" t="s">
        <v>16</v>
      </c>
      <c r="T10" s="92" t="s">
        <v>338</v>
      </c>
      <c r="U10" s="86" t="s">
        <v>336</v>
      </c>
      <c r="V10" s="86" t="s">
        <v>336</v>
      </c>
      <c r="W10" s="86" t="s">
        <v>336</v>
      </c>
      <c r="X10" s="86" t="s">
        <v>336</v>
      </c>
      <c r="Y10" s="86" t="s">
        <v>336</v>
      </c>
    </row>
    <row r="11" spans="2:27" ht="16" x14ac:dyDescent="0.2">
      <c r="B11" s="134"/>
      <c r="D11" s="38"/>
      <c r="E11" s="38"/>
      <c r="F11" s="38"/>
      <c r="G11" s="38"/>
      <c r="H11" s="38"/>
      <c r="J11" s="122" t="s">
        <v>402</v>
      </c>
      <c r="K11" s="44"/>
      <c r="L11" s="44" t="s">
        <v>80</v>
      </c>
      <c r="M11" s="76"/>
      <c r="N11" s="76" t="s">
        <v>385</v>
      </c>
      <c r="T11" s="93" t="s">
        <v>412</v>
      </c>
      <c r="U11" s="87" t="s">
        <v>336</v>
      </c>
      <c r="V11" s="87" t="s">
        <v>336</v>
      </c>
      <c r="W11" s="87" t="s">
        <v>336</v>
      </c>
      <c r="X11" s="87" t="s">
        <v>336</v>
      </c>
      <c r="Y11" s="87" t="s">
        <v>336</v>
      </c>
    </row>
    <row r="12" spans="2:27" ht="16" x14ac:dyDescent="0.2">
      <c r="B12" s="134"/>
      <c r="D12" s="38"/>
      <c r="E12" s="38"/>
      <c r="F12" s="38"/>
      <c r="G12" s="38"/>
      <c r="H12" s="38"/>
      <c r="J12" s="127"/>
      <c r="K12" s="45"/>
      <c r="L12" s="45" t="s">
        <v>85</v>
      </c>
      <c r="M12" s="77"/>
      <c r="N12" s="77" t="s">
        <v>99</v>
      </c>
      <c r="T12" s="93" t="s">
        <v>339</v>
      </c>
      <c r="U12" s="94">
        <v>3613</v>
      </c>
      <c r="V12" s="94">
        <v>3613</v>
      </c>
      <c r="W12" s="94">
        <v>3613</v>
      </c>
      <c r="X12" s="94">
        <v>2748</v>
      </c>
      <c r="Y12" s="94">
        <v>3613</v>
      </c>
    </row>
    <row r="13" spans="2:27" ht="16" x14ac:dyDescent="0.2">
      <c r="B13" s="134"/>
      <c r="D13" s="38"/>
      <c r="E13" s="38"/>
      <c r="F13" s="38"/>
      <c r="G13" s="38"/>
      <c r="H13" s="38"/>
      <c r="J13" s="46" t="s">
        <v>335</v>
      </c>
      <c r="K13" s="44" t="s">
        <v>336</v>
      </c>
      <c r="L13" s="44" t="s">
        <v>336</v>
      </c>
      <c r="M13" s="76" t="s">
        <v>336</v>
      </c>
      <c r="N13" s="76" t="s">
        <v>336</v>
      </c>
    </row>
    <row r="14" spans="2:27" ht="16" x14ac:dyDescent="0.2">
      <c r="B14" s="134"/>
      <c r="D14" s="38"/>
      <c r="E14" s="38"/>
      <c r="F14" s="38"/>
      <c r="G14" s="38"/>
      <c r="H14" s="38"/>
      <c r="J14" s="46" t="s">
        <v>337</v>
      </c>
      <c r="K14" s="44" t="s">
        <v>336</v>
      </c>
      <c r="L14" s="44" t="s">
        <v>336</v>
      </c>
      <c r="M14" s="76" t="s">
        <v>336</v>
      </c>
      <c r="N14" s="76" t="s">
        <v>336</v>
      </c>
    </row>
    <row r="15" spans="2:27" ht="16" x14ac:dyDescent="0.2">
      <c r="B15" s="134"/>
      <c r="D15" s="38"/>
      <c r="E15" s="38"/>
      <c r="F15" s="38"/>
      <c r="G15" s="38"/>
      <c r="H15" s="38"/>
      <c r="J15" s="46" t="s">
        <v>338</v>
      </c>
      <c r="K15" s="44" t="s">
        <v>336</v>
      </c>
      <c r="L15" s="44" t="s">
        <v>336</v>
      </c>
      <c r="M15" s="76" t="s">
        <v>336</v>
      </c>
      <c r="N15" s="76" t="s">
        <v>336</v>
      </c>
    </row>
    <row r="16" spans="2:27" ht="16" x14ac:dyDescent="0.2">
      <c r="B16" s="134"/>
      <c r="J16" s="47" t="s">
        <v>339</v>
      </c>
      <c r="K16" s="45" t="s">
        <v>344</v>
      </c>
      <c r="L16" s="45" t="s">
        <v>347</v>
      </c>
      <c r="M16" s="77" t="s">
        <v>386</v>
      </c>
      <c r="N16" s="77" t="s">
        <v>386</v>
      </c>
    </row>
    <row r="17" spans="2:35" ht="16" x14ac:dyDescent="0.2">
      <c r="B17" s="134"/>
    </row>
    <row r="18" spans="2:35" ht="16" x14ac:dyDescent="0.2">
      <c r="B18" s="134"/>
    </row>
    <row r="19" spans="2:35" ht="16" x14ac:dyDescent="0.2">
      <c r="B19" s="134"/>
    </row>
    <row r="20" spans="2:35" ht="16" x14ac:dyDescent="0.2">
      <c r="B20" s="134"/>
    </row>
    <row r="21" spans="2:35" ht="16" x14ac:dyDescent="0.2">
      <c r="B21" s="134"/>
    </row>
    <row r="22" spans="2:35" ht="16" x14ac:dyDescent="0.2">
      <c r="B22" s="134"/>
    </row>
    <row r="23" spans="2:35" ht="16" x14ac:dyDescent="0.2">
      <c r="B23" s="134"/>
    </row>
    <row r="24" spans="2:35" ht="16" customHeight="1" x14ac:dyDescent="0.2">
      <c r="B24" s="135" t="s">
        <v>464</v>
      </c>
    </row>
    <row r="25" spans="2:35" ht="16" x14ac:dyDescent="0.2">
      <c r="B25" s="135"/>
    </row>
    <row r="26" spans="2:35" ht="16" x14ac:dyDescent="0.2">
      <c r="B26" s="135"/>
      <c r="D26" s="41"/>
      <c r="E26" s="42" t="s">
        <v>340</v>
      </c>
      <c r="F26" s="42" t="s">
        <v>341</v>
      </c>
      <c r="N26" s="170"/>
      <c r="O26" s="74" t="s">
        <v>340</v>
      </c>
      <c r="P26" s="74" t="s">
        <v>341</v>
      </c>
    </row>
    <row r="27" spans="2:35" ht="16" x14ac:dyDescent="0.2">
      <c r="B27" s="135"/>
      <c r="E27" s="169" t="s">
        <v>555</v>
      </c>
      <c r="F27" s="169" t="s">
        <v>556</v>
      </c>
      <c r="O27" s="171" t="s">
        <v>565</v>
      </c>
      <c r="P27" s="171" t="s">
        <v>566</v>
      </c>
    </row>
    <row r="28" spans="2:35" s="26" customFormat="1" ht="16" customHeight="1" x14ac:dyDescent="0.2">
      <c r="B28" s="135"/>
      <c r="C28" s="39"/>
      <c r="D28" s="43" t="s">
        <v>388</v>
      </c>
      <c r="E28" s="125" t="s">
        <v>399</v>
      </c>
      <c r="F28" s="125"/>
      <c r="G28" s="177"/>
      <c r="H28" s="177"/>
      <c r="I28" s="177"/>
      <c r="J28" s="39"/>
      <c r="K28" s="39"/>
      <c r="L28" s="39"/>
      <c r="M28" s="75"/>
      <c r="N28" s="172" t="s">
        <v>388</v>
      </c>
      <c r="O28" s="126" t="s">
        <v>400</v>
      </c>
      <c r="P28" s="126"/>
      <c r="Q28" s="75"/>
      <c r="R28" s="75"/>
      <c r="S28" s="33"/>
      <c r="T28" s="33"/>
      <c r="U28" s="33"/>
      <c r="V28" s="33"/>
      <c r="W28" s="33"/>
      <c r="X28" s="33"/>
      <c r="Y28" s="33"/>
      <c r="Z28" s="33"/>
      <c r="AA28" s="95"/>
      <c r="AB28" s="31"/>
      <c r="AC28" s="31"/>
      <c r="AD28" s="31"/>
      <c r="AE28" s="31"/>
      <c r="AF28" s="31"/>
      <c r="AG28" s="31"/>
      <c r="AH28" s="31"/>
      <c r="AI28" s="31"/>
    </row>
    <row r="29" spans="2:35" ht="16" x14ac:dyDescent="0.2">
      <c r="B29" s="135"/>
      <c r="D29" s="122" t="s">
        <v>334</v>
      </c>
      <c r="E29" s="44" t="s">
        <v>547</v>
      </c>
      <c r="F29" s="44" t="s">
        <v>549</v>
      </c>
      <c r="G29" s="177" t="s">
        <v>567</v>
      </c>
      <c r="H29" s="177"/>
      <c r="I29" s="177"/>
      <c r="N29" s="173" t="s">
        <v>334</v>
      </c>
      <c r="O29" s="76" t="s">
        <v>546</v>
      </c>
      <c r="P29" s="76" t="s">
        <v>55</v>
      </c>
      <c r="Q29" s="178" t="s">
        <v>571</v>
      </c>
      <c r="R29" s="178"/>
    </row>
    <row r="30" spans="2:35" ht="16" customHeight="1" x14ac:dyDescent="0.2">
      <c r="B30" s="135"/>
      <c r="D30" s="122"/>
      <c r="E30" s="44" t="s">
        <v>94</v>
      </c>
      <c r="F30" s="44" t="s">
        <v>550</v>
      </c>
      <c r="G30" s="177" t="s">
        <v>568</v>
      </c>
      <c r="H30" s="177"/>
      <c r="I30" s="177"/>
      <c r="N30" s="173"/>
      <c r="O30" s="76" t="s">
        <v>143</v>
      </c>
      <c r="P30" s="76" t="s">
        <v>24</v>
      </c>
      <c r="Q30" s="178"/>
      <c r="R30" s="178"/>
    </row>
    <row r="31" spans="2:35" ht="16" x14ac:dyDescent="0.2">
      <c r="B31" s="135"/>
      <c r="D31" s="122" t="s">
        <v>401</v>
      </c>
      <c r="E31" s="44" t="s">
        <v>548</v>
      </c>
      <c r="F31" s="44" t="s">
        <v>55</v>
      </c>
      <c r="G31" s="177" t="s">
        <v>569</v>
      </c>
      <c r="H31" s="177"/>
      <c r="I31" s="177"/>
      <c r="N31" s="173" t="s">
        <v>401</v>
      </c>
      <c r="O31" s="76" t="s">
        <v>559</v>
      </c>
      <c r="P31" s="76" t="s">
        <v>560</v>
      </c>
      <c r="Q31" s="178" t="s">
        <v>573</v>
      </c>
      <c r="R31" s="178"/>
    </row>
    <row r="32" spans="2:35" ht="16" customHeight="1" x14ac:dyDescent="0.2">
      <c r="B32" s="135"/>
      <c r="D32" s="122"/>
      <c r="E32" s="44" t="s">
        <v>57</v>
      </c>
      <c r="F32" s="44" t="s">
        <v>551</v>
      </c>
      <c r="G32" s="177" t="s">
        <v>570</v>
      </c>
      <c r="H32" s="177"/>
      <c r="I32" s="177"/>
      <c r="N32" s="173"/>
      <c r="O32" s="76" t="s">
        <v>456</v>
      </c>
      <c r="P32" s="76" t="s">
        <v>26</v>
      </c>
      <c r="Q32" s="178"/>
      <c r="R32" s="178"/>
    </row>
    <row r="33" spans="2:18" ht="16" x14ac:dyDescent="0.2">
      <c r="B33" s="135"/>
      <c r="D33" s="122" t="s">
        <v>402</v>
      </c>
      <c r="E33" s="44" t="s">
        <v>278</v>
      </c>
      <c r="F33" s="44" t="s">
        <v>552</v>
      </c>
      <c r="G33" s="177"/>
      <c r="H33" s="177"/>
      <c r="I33" s="177"/>
      <c r="N33" s="173" t="s">
        <v>402</v>
      </c>
      <c r="O33" s="76" t="s">
        <v>561</v>
      </c>
      <c r="P33" s="76" t="s">
        <v>562</v>
      </c>
      <c r="Q33" s="178" t="s">
        <v>572</v>
      </c>
      <c r="R33" s="178"/>
    </row>
    <row r="34" spans="2:18" ht="16" x14ac:dyDescent="0.2">
      <c r="B34" s="135"/>
      <c r="D34" s="127"/>
      <c r="E34" s="45" t="s">
        <v>553</v>
      </c>
      <c r="F34" s="45" t="s">
        <v>554</v>
      </c>
      <c r="G34" s="177"/>
      <c r="H34" s="177"/>
      <c r="I34" s="177"/>
      <c r="N34" s="174"/>
      <c r="O34" s="77" t="s">
        <v>85</v>
      </c>
      <c r="P34" s="77" t="s">
        <v>85</v>
      </c>
      <c r="Q34" s="178"/>
      <c r="R34" s="178"/>
    </row>
    <row r="35" spans="2:18" ht="16" x14ac:dyDescent="0.2">
      <c r="B35" s="135"/>
      <c r="D35" s="46" t="s">
        <v>335</v>
      </c>
      <c r="E35" s="44" t="s">
        <v>336</v>
      </c>
      <c r="F35" s="44" t="s">
        <v>336</v>
      </c>
      <c r="G35" s="177"/>
      <c r="H35" s="177"/>
      <c r="I35" s="177"/>
      <c r="N35" s="175" t="s">
        <v>335</v>
      </c>
      <c r="O35" s="76" t="s">
        <v>336</v>
      </c>
      <c r="P35" s="76" t="s">
        <v>336</v>
      </c>
      <c r="Q35" s="178"/>
      <c r="R35" s="178"/>
    </row>
    <row r="36" spans="2:18" ht="16" x14ac:dyDescent="0.2">
      <c r="B36" s="135"/>
      <c r="D36" s="46" t="s">
        <v>337</v>
      </c>
      <c r="E36" s="44" t="s">
        <v>336</v>
      </c>
      <c r="F36" s="44" t="s">
        <v>336</v>
      </c>
      <c r="G36" s="177"/>
      <c r="H36" s="177"/>
      <c r="I36" s="177"/>
      <c r="N36" s="175" t="s">
        <v>337</v>
      </c>
      <c r="O36" s="76" t="s">
        <v>336</v>
      </c>
      <c r="P36" s="76" t="s">
        <v>336</v>
      </c>
      <c r="Q36" s="178"/>
      <c r="R36" s="178"/>
    </row>
    <row r="37" spans="2:18" ht="16" x14ac:dyDescent="0.2">
      <c r="B37" s="135"/>
      <c r="D37" s="46" t="s">
        <v>338</v>
      </c>
      <c r="E37" s="44" t="s">
        <v>336</v>
      </c>
      <c r="F37" s="44" t="s">
        <v>336</v>
      </c>
      <c r="G37" s="177"/>
      <c r="H37" s="177"/>
      <c r="I37" s="177"/>
      <c r="N37" s="175" t="s">
        <v>338</v>
      </c>
      <c r="O37" s="76" t="s">
        <v>336</v>
      </c>
      <c r="P37" s="76" t="s">
        <v>336</v>
      </c>
      <c r="Q37" s="178"/>
      <c r="R37" s="178"/>
    </row>
    <row r="38" spans="2:18" ht="16" x14ac:dyDescent="0.2">
      <c r="B38" s="135"/>
      <c r="D38" s="47" t="s">
        <v>339</v>
      </c>
      <c r="E38" s="45" t="s">
        <v>557</v>
      </c>
      <c r="F38" s="45" t="s">
        <v>558</v>
      </c>
      <c r="N38" s="176" t="s">
        <v>339</v>
      </c>
      <c r="O38" s="77" t="s">
        <v>563</v>
      </c>
      <c r="P38" s="77" t="s">
        <v>564</v>
      </c>
    </row>
    <row r="39" spans="2:18" ht="16" x14ac:dyDescent="0.2">
      <c r="B39" s="135"/>
    </row>
    <row r="40" spans="2:18" ht="16" x14ac:dyDescent="0.2">
      <c r="B40" s="135"/>
    </row>
    <row r="41" spans="2:18" ht="16" x14ac:dyDescent="0.2">
      <c r="B41" s="135"/>
    </row>
    <row r="42" spans="2:18" ht="23" customHeight="1" x14ac:dyDescent="0.2">
      <c r="B42" s="135" t="s">
        <v>463</v>
      </c>
      <c r="D42" s="40" t="s">
        <v>420</v>
      </c>
      <c r="M42" s="168"/>
      <c r="N42" s="168"/>
      <c r="O42" s="168"/>
      <c r="P42" s="168"/>
      <c r="Q42" s="168"/>
      <c r="R42" s="168"/>
    </row>
    <row r="43" spans="2:18" ht="22" customHeight="1" x14ac:dyDescent="0.2">
      <c r="B43" s="135"/>
      <c r="D43" s="128"/>
      <c r="E43" s="128" t="s">
        <v>404</v>
      </c>
      <c r="F43" s="128"/>
      <c r="G43" s="48" t="s">
        <v>405</v>
      </c>
      <c r="H43" s="48" t="s">
        <v>406</v>
      </c>
      <c r="I43" s="48" t="s">
        <v>407</v>
      </c>
      <c r="M43" s="168"/>
      <c r="N43" s="168"/>
      <c r="O43" s="168"/>
      <c r="P43" s="168"/>
      <c r="Q43" s="168"/>
      <c r="R43" s="168"/>
    </row>
    <row r="44" spans="2:18" ht="22" customHeight="1" x14ac:dyDescent="0.2">
      <c r="B44" s="135"/>
      <c r="D44" s="129"/>
      <c r="E44" s="50" t="s">
        <v>340</v>
      </c>
      <c r="F44" s="50" t="s">
        <v>341</v>
      </c>
      <c r="G44" s="50" t="s">
        <v>342</v>
      </c>
      <c r="H44" s="51" t="s">
        <v>343</v>
      </c>
      <c r="I44" s="51" t="s">
        <v>419</v>
      </c>
      <c r="M44" s="168"/>
      <c r="N44" s="168"/>
      <c r="O44" s="168"/>
      <c r="P44" s="168"/>
      <c r="Q44" s="168"/>
      <c r="R44" s="168"/>
    </row>
    <row r="45" spans="2:18" ht="26" customHeight="1" x14ac:dyDescent="0.2">
      <c r="B45" s="135"/>
      <c r="D45" s="129"/>
      <c r="E45" s="130" t="s">
        <v>408</v>
      </c>
      <c r="F45" s="130"/>
      <c r="G45" s="130" t="s">
        <v>409</v>
      </c>
      <c r="H45" s="130"/>
      <c r="I45" s="130"/>
      <c r="M45" s="168"/>
      <c r="N45" s="168"/>
      <c r="O45" s="168"/>
      <c r="P45" s="168"/>
      <c r="Q45" s="168"/>
      <c r="R45" s="168"/>
    </row>
    <row r="46" spans="2:18" ht="22" customHeight="1" x14ac:dyDescent="0.2">
      <c r="B46" s="135"/>
      <c r="D46" s="131" t="s">
        <v>403</v>
      </c>
      <c r="E46" s="49" t="s">
        <v>6</v>
      </c>
      <c r="F46" s="49" t="s">
        <v>410</v>
      </c>
      <c r="G46" s="49" t="s">
        <v>411</v>
      </c>
      <c r="H46" s="49" t="s">
        <v>411</v>
      </c>
      <c r="I46" s="49" t="s">
        <v>411</v>
      </c>
      <c r="M46" s="168"/>
      <c r="N46" s="168"/>
      <c r="O46" s="168"/>
      <c r="P46" s="168"/>
      <c r="Q46" s="168"/>
      <c r="R46" s="168"/>
    </row>
    <row r="47" spans="2:18" ht="22" customHeight="1" x14ac:dyDescent="0.2">
      <c r="B47" s="135"/>
      <c r="D47" s="131"/>
      <c r="E47" s="44" t="s">
        <v>16</v>
      </c>
      <c r="F47" s="44" t="s">
        <v>213</v>
      </c>
      <c r="G47" s="44" t="s">
        <v>455</v>
      </c>
      <c r="H47" s="44" t="s">
        <v>457</v>
      </c>
      <c r="I47" s="44" t="s">
        <v>457</v>
      </c>
      <c r="M47" s="168"/>
      <c r="N47" s="168"/>
      <c r="O47" s="168"/>
      <c r="P47" s="168"/>
      <c r="Q47" s="168"/>
      <c r="R47" s="168"/>
    </row>
    <row r="48" spans="2:18" ht="22" customHeight="1" x14ac:dyDescent="0.2">
      <c r="B48" s="135"/>
      <c r="D48" s="53" t="s">
        <v>412</v>
      </c>
      <c r="E48" s="50" t="s">
        <v>336</v>
      </c>
      <c r="F48" s="50" t="s">
        <v>336</v>
      </c>
      <c r="G48" s="50" t="s">
        <v>336</v>
      </c>
      <c r="H48" s="50" t="s">
        <v>336</v>
      </c>
      <c r="I48" s="50" t="s">
        <v>336</v>
      </c>
      <c r="M48" s="168"/>
      <c r="N48" s="168"/>
      <c r="O48" s="168"/>
      <c r="P48" s="168"/>
      <c r="Q48" s="168"/>
      <c r="R48" s="168"/>
    </row>
    <row r="49" spans="2:18" ht="22" customHeight="1" x14ac:dyDescent="0.2">
      <c r="B49" s="135"/>
      <c r="D49" s="53" t="s">
        <v>338</v>
      </c>
      <c r="E49" s="50" t="s">
        <v>336</v>
      </c>
      <c r="F49" s="50" t="s">
        <v>336</v>
      </c>
      <c r="G49" s="50" t="s">
        <v>336</v>
      </c>
      <c r="H49" s="50" t="s">
        <v>336</v>
      </c>
      <c r="I49" s="50" t="s">
        <v>336</v>
      </c>
      <c r="M49" s="168"/>
      <c r="N49" s="168"/>
      <c r="O49" s="168"/>
      <c r="P49" s="168"/>
      <c r="Q49" s="168"/>
      <c r="R49" s="168"/>
    </row>
    <row r="50" spans="2:18" ht="22" customHeight="1" x14ac:dyDescent="0.2">
      <c r="B50" s="135"/>
      <c r="D50" s="54" t="s">
        <v>413</v>
      </c>
      <c r="E50" s="55"/>
      <c r="F50" s="56" t="s">
        <v>336</v>
      </c>
      <c r="G50" s="55"/>
      <c r="H50" s="55"/>
      <c r="I50" s="55"/>
      <c r="M50" s="168"/>
      <c r="N50" s="168"/>
      <c r="O50" s="168"/>
      <c r="P50" s="168"/>
      <c r="Q50" s="168"/>
      <c r="R50" s="168"/>
    </row>
    <row r="51" spans="2:18" ht="22" customHeight="1" x14ac:dyDescent="0.2">
      <c r="B51" s="135"/>
      <c r="D51" s="57" t="s">
        <v>339</v>
      </c>
      <c r="E51" s="58">
        <v>3613</v>
      </c>
      <c r="F51" s="58">
        <v>3613</v>
      </c>
      <c r="G51" s="58">
        <v>3613</v>
      </c>
      <c r="H51" s="58">
        <v>3613</v>
      </c>
      <c r="I51" s="58">
        <v>3613</v>
      </c>
      <c r="M51" s="168"/>
      <c r="N51" s="168"/>
      <c r="O51" s="168"/>
      <c r="P51" s="168"/>
      <c r="Q51" s="168"/>
      <c r="R51" s="168"/>
    </row>
    <row r="52" spans="2:18" ht="22" customHeight="1" x14ac:dyDescent="0.2">
      <c r="B52" s="135"/>
      <c r="D52" s="57" t="s">
        <v>414</v>
      </c>
      <c r="E52" s="59"/>
      <c r="F52" s="49">
        <v>2730.402</v>
      </c>
      <c r="G52" s="59"/>
      <c r="H52" s="49">
        <v>10115.514999999999</v>
      </c>
      <c r="I52" s="49">
        <v>10117.514999999999</v>
      </c>
      <c r="M52" s="168"/>
      <c r="N52" s="168"/>
      <c r="O52" s="168"/>
      <c r="P52" s="168"/>
      <c r="Q52" s="168"/>
      <c r="R52" s="168"/>
    </row>
    <row r="53" spans="2:18" ht="22" customHeight="1" x14ac:dyDescent="0.2">
      <c r="B53" s="135"/>
      <c r="D53" s="57" t="s">
        <v>415</v>
      </c>
      <c r="E53" s="59"/>
      <c r="F53" s="49">
        <v>3900.7449999999999</v>
      </c>
      <c r="G53" s="59"/>
      <c r="H53" s="59"/>
      <c r="I53" s="59"/>
      <c r="M53" s="168"/>
      <c r="N53" s="168"/>
      <c r="O53" s="168"/>
      <c r="P53" s="168"/>
      <c r="Q53" s="168"/>
      <c r="R53" s="168"/>
    </row>
    <row r="54" spans="2:18" ht="22" customHeight="1" x14ac:dyDescent="0.2">
      <c r="B54" s="135"/>
      <c r="D54" s="57" t="s">
        <v>416</v>
      </c>
      <c r="E54" s="59"/>
      <c r="F54" s="49">
        <v>-1176.201</v>
      </c>
      <c r="G54" s="49">
        <v>-4869.7579999999998</v>
      </c>
      <c r="H54" s="49">
        <v>-4869.7579999999998</v>
      </c>
      <c r="I54" s="49">
        <v>-4869.7579999999998</v>
      </c>
      <c r="M54" s="168"/>
      <c r="N54" s="168"/>
      <c r="O54" s="168"/>
      <c r="P54" s="168"/>
      <c r="Q54" s="168"/>
      <c r="R54" s="168"/>
    </row>
    <row r="55" spans="2:18" ht="22" customHeight="1" x14ac:dyDescent="0.2">
      <c r="B55" s="135"/>
      <c r="D55" s="57" t="s">
        <v>417</v>
      </c>
      <c r="E55" s="59"/>
      <c r="F55" s="59"/>
      <c r="G55" s="49">
        <v>3545.797</v>
      </c>
      <c r="H55" s="59"/>
      <c r="I55" s="59"/>
      <c r="M55" s="168"/>
      <c r="N55" s="168"/>
      <c r="O55" s="168"/>
      <c r="P55" s="168"/>
      <c r="Q55" s="168"/>
      <c r="R55" s="168"/>
    </row>
    <row r="56" spans="2:18" ht="22" customHeight="1" x14ac:dyDescent="0.2">
      <c r="B56" s="135"/>
      <c r="D56" s="54" t="s">
        <v>418</v>
      </c>
      <c r="E56" s="55"/>
      <c r="F56" s="55"/>
      <c r="G56" s="55">
        <v>1.4E-2</v>
      </c>
      <c r="H56" s="55"/>
      <c r="I56" s="55"/>
      <c r="M56" s="168"/>
      <c r="N56" s="168"/>
      <c r="O56" s="168"/>
      <c r="P56" s="168"/>
      <c r="Q56" s="168"/>
      <c r="R56" s="168"/>
    </row>
    <row r="57" spans="2:18" ht="22" customHeight="1" x14ac:dyDescent="0.2">
      <c r="B57" s="135"/>
      <c r="D57" s="57"/>
      <c r="E57" s="49"/>
      <c r="F57" s="49"/>
      <c r="G57" s="49"/>
      <c r="H57" s="49"/>
      <c r="I57" s="49"/>
    </row>
    <row r="58" spans="2:18" ht="22" customHeight="1" x14ac:dyDescent="0.2">
      <c r="B58" s="135"/>
      <c r="D58" s="57"/>
      <c r="E58" s="49"/>
      <c r="F58" s="49"/>
      <c r="G58" s="49"/>
      <c r="H58" s="49"/>
      <c r="I58" s="49"/>
    </row>
    <row r="59" spans="2:18" ht="22" customHeight="1" x14ac:dyDescent="0.2">
      <c r="B59" s="135"/>
    </row>
    <row r="60" spans="2:18" ht="22" customHeight="1" x14ac:dyDescent="0.2">
      <c r="B60" s="135"/>
      <c r="D60" s="60" t="s">
        <v>435</v>
      </c>
    </row>
    <row r="61" spans="2:18" ht="22" customHeight="1" x14ac:dyDescent="0.2">
      <c r="B61" s="135"/>
      <c r="D61" s="128"/>
      <c r="E61" s="42" t="s">
        <v>340</v>
      </c>
      <c r="F61" s="42" t="s">
        <v>341</v>
      </c>
      <c r="G61" s="42" t="s">
        <v>342</v>
      </c>
      <c r="H61" s="42" t="s">
        <v>343</v>
      </c>
      <c r="I61" s="42" t="s">
        <v>419</v>
      </c>
      <c r="J61" s="42" t="s">
        <v>433</v>
      </c>
      <c r="K61" s="42" t="s">
        <v>434</v>
      </c>
    </row>
    <row r="62" spans="2:18" ht="22" customHeight="1" x14ac:dyDescent="0.2">
      <c r="B62" s="135"/>
      <c r="D62" s="129"/>
      <c r="E62" s="132" t="s">
        <v>422</v>
      </c>
      <c r="F62" s="132" t="s">
        <v>423</v>
      </c>
      <c r="G62" s="132"/>
      <c r="H62" s="132"/>
      <c r="I62" s="132" t="s">
        <v>424</v>
      </c>
      <c r="J62" s="132"/>
      <c r="K62" s="132"/>
    </row>
    <row r="63" spans="2:18" ht="22" customHeight="1" x14ac:dyDescent="0.2">
      <c r="B63" s="135"/>
      <c r="D63" s="129"/>
      <c r="E63" s="130"/>
      <c r="F63" s="52" t="s">
        <v>425</v>
      </c>
      <c r="G63" s="52" t="s">
        <v>426</v>
      </c>
      <c r="H63" s="52" t="s">
        <v>427</v>
      </c>
      <c r="I63" s="61"/>
      <c r="J63" s="61"/>
      <c r="K63" s="61"/>
    </row>
    <row r="64" spans="2:18" ht="22" customHeight="1" x14ac:dyDescent="0.2">
      <c r="B64" s="135"/>
      <c r="D64" s="131" t="s">
        <v>403</v>
      </c>
      <c r="E64" s="49" t="s">
        <v>428</v>
      </c>
      <c r="F64" s="49" t="s">
        <v>429</v>
      </c>
      <c r="G64" s="49" t="s">
        <v>6</v>
      </c>
      <c r="H64" s="49" t="s">
        <v>430</v>
      </c>
      <c r="I64" s="49">
        <v>-2.5999999999999999E-2</v>
      </c>
      <c r="J64" s="49" t="s">
        <v>431</v>
      </c>
      <c r="K64" s="49" t="s">
        <v>432</v>
      </c>
    </row>
    <row r="65" spans="2:13" ht="22" customHeight="1" x14ac:dyDescent="0.2">
      <c r="B65" s="135"/>
      <c r="D65" s="136"/>
      <c r="E65" s="45" t="s">
        <v>29</v>
      </c>
      <c r="F65" s="45" t="s">
        <v>16</v>
      </c>
      <c r="G65" s="45" t="s">
        <v>16</v>
      </c>
      <c r="H65" s="45" t="s">
        <v>16</v>
      </c>
      <c r="I65" s="45" t="s">
        <v>298</v>
      </c>
      <c r="J65" s="45" t="s">
        <v>28</v>
      </c>
      <c r="K65" s="45" t="s">
        <v>456</v>
      </c>
    </row>
    <row r="66" spans="2:13" ht="22" customHeight="1" x14ac:dyDescent="0.2">
      <c r="B66" s="135"/>
      <c r="D66" s="62" t="s">
        <v>338</v>
      </c>
      <c r="E66" s="48" t="s">
        <v>336</v>
      </c>
      <c r="F66" s="48" t="s">
        <v>336</v>
      </c>
      <c r="G66" s="48" t="s">
        <v>336</v>
      </c>
      <c r="H66" s="48" t="s">
        <v>336</v>
      </c>
      <c r="I66" s="48" t="s">
        <v>336</v>
      </c>
      <c r="J66" s="48" t="s">
        <v>336</v>
      </c>
      <c r="K66" s="48" t="s">
        <v>336</v>
      </c>
    </row>
    <row r="67" spans="2:13" ht="22" customHeight="1" x14ac:dyDescent="0.2">
      <c r="B67" s="135"/>
      <c r="D67" s="63" t="s">
        <v>412</v>
      </c>
      <c r="E67" s="55" t="s">
        <v>336</v>
      </c>
      <c r="F67" s="55" t="s">
        <v>336</v>
      </c>
      <c r="G67" s="55" t="s">
        <v>336</v>
      </c>
      <c r="H67" s="55" t="s">
        <v>336</v>
      </c>
      <c r="I67" s="55" t="s">
        <v>336</v>
      </c>
      <c r="J67" s="55" t="s">
        <v>336</v>
      </c>
      <c r="K67" s="55" t="s">
        <v>336</v>
      </c>
    </row>
    <row r="68" spans="2:13" ht="22" customHeight="1" x14ac:dyDescent="0.2">
      <c r="B68" s="135"/>
      <c r="D68" s="63" t="s">
        <v>339</v>
      </c>
      <c r="E68" s="64">
        <v>3613</v>
      </c>
      <c r="F68" s="64">
        <v>3613</v>
      </c>
      <c r="G68" s="64">
        <v>3613</v>
      </c>
      <c r="H68" s="64">
        <v>3613</v>
      </c>
      <c r="I68" s="55">
        <v>838</v>
      </c>
      <c r="J68" s="65">
        <v>1607</v>
      </c>
      <c r="K68" s="65">
        <v>2413</v>
      </c>
    </row>
    <row r="69" spans="2:13" ht="22" customHeight="1" x14ac:dyDescent="0.2">
      <c r="B69" s="135"/>
    </row>
    <row r="70" spans="2:13" ht="22" customHeight="1" x14ac:dyDescent="0.2">
      <c r="B70" s="135"/>
    </row>
    <row r="71" spans="2:13" ht="22" customHeight="1" x14ac:dyDescent="0.2">
      <c r="B71" s="135"/>
    </row>
    <row r="72" spans="2:13" ht="22" customHeight="1" x14ac:dyDescent="0.2">
      <c r="B72" s="135"/>
      <c r="K72" s="60" t="s">
        <v>448</v>
      </c>
    </row>
    <row r="73" spans="2:13" ht="22" customHeight="1" x14ac:dyDescent="0.2">
      <c r="B73" s="135"/>
      <c r="K73" s="66"/>
      <c r="L73" s="42" t="s">
        <v>340</v>
      </c>
      <c r="M73" s="74" t="s">
        <v>341</v>
      </c>
    </row>
    <row r="74" spans="2:13" ht="22" customHeight="1" x14ac:dyDescent="0.2">
      <c r="B74" s="135"/>
      <c r="K74" s="50"/>
      <c r="L74" s="56" t="s">
        <v>436</v>
      </c>
      <c r="M74" s="80" t="s">
        <v>440</v>
      </c>
    </row>
    <row r="75" spans="2:13" ht="22" customHeight="1" x14ac:dyDescent="0.2">
      <c r="B75" s="135"/>
      <c r="K75" s="144" t="s">
        <v>438</v>
      </c>
      <c r="L75" s="50">
        <v>-2.1999999999999999E-2</v>
      </c>
      <c r="M75" s="78">
        <v>-1.6E-2</v>
      </c>
    </row>
    <row r="76" spans="2:13" ht="22" customHeight="1" x14ac:dyDescent="0.2">
      <c r="B76" s="135"/>
      <c r="K76" s="145"/>
      <c r="L76" s="67" t="s">
        <v>224</v>
      </c>
      <c r="M76" s="81" t="s">
        <v>455</v>
      </c>
    </row>
    <row r="77" spans="2:13" ht="22" customHeight="1" x14ac:dyDescent="0.2">
      <c r="B77" s="135"/>
      <c r="K77" s="53" t="s">
        <v>439</v>
      </c>
      <c r="L77" s="50" t="s">
        <v>336</v>
      </c>
      <c r="M77" s="78" t="s">
        <v>336</v>
      </c>
    </row>
    <row r="78" spans="2:13" ht="22" customHeight="1" x14ac:dyDescent="0.2">
      <c r="B78" s="135"/>
      <c r="K78" s="63" t="s">
        <v>412</v>
      </c>
      <c r="L78" s="56" t="s">
        <v>336</v>
      </c>
      <c r="M78" s="80" t="s">
        <v>336</v>
      </c>
    </row>
    <row r="79" spans="2:13" ht="22" customHeight="1" x14ac:dyDescent="0.2">
      <c r="B79" s="135"/>
      <c r="K79" s="63" t="s">
        <v>339</v>
      </c>
      <c r="L79" s="64">
        <v>5984</v>
      </c>
      <c r="M79" s="79">
        <v>8961</v>
      </c>
    </row>
    <row r="80" spans="2:13" ht="22" customHeight="1" x14ac:dyDescent="0.2">
      <c r="B80" s="135"/>
    </row>
    <row r="81" spans="2:15" ht="22" customHeight="1" x14ac:dyDescent="0.2">
      <c r="B81" s="135"/>
    </row>
    <row r="82" spans="2:15" ht="22" customHeight="1" x14ac:dyDescent="0.2">
      <c r="B82" s="135"/>
    </row>
    <row r="83" spans="2:15" ht="22" customHeight="1" x14ac:dyDescent="0.2">
      <c r="B83" s="135"/>
      <c r="J83" s="60" t="s">
        <v>441</v>
      </c>
    </row>
    <row r="84" spans="2:15" ht="22" customHeight="1" x14ac:dyDescent="0.2">
      <c r="B84" s="135"/>
      <c r="J84" s="146"/>
      <c r="K84" s="148" t="s">
        <v>442</v>
      </c>
      <c r="L84" s="148" t="s">
        <v>446</v>
      </c>
      <c r="M84" s="138" t="s">
        <v>447</v>
      </c>
      <c r="N84" s="138" t="s">
        <v>443</v>
      </c>
      <c r="O84" s="138" t="s">
        <v>444</v>
      </c>
    </row>
    <row r="85" spans="2:15" ht="22" customHeight="1" x14ac:dyDescent="0.2">
      <c r="B85" s="135"/>
      <c r="J85" s="147"/>
      <c r="K85" s="149"/>
      <c r="L85" s="149"/>
      <c r="M85" s="139"/>
      <c r="N85" s="139"/>
      <c r="O85" s="139"/>
    </row>
    <row r="86" spans="2:15" ht="22" customHeight="1" x14ac:dyDescent="0.2">
      <c r="B86" s="135"/>
      <c r="J86" s="69" t="s">
        <v>445</v>
      </c>
      <c r="K86" s="70">
        <v>-4.5999999999999999E-2</v>
      </c>
      <c r="L86" s="70">
        <v>9.2999999999999999E-2</v>
      </c>
      <c r="M86" s="83">
        <v>0.121</v>
      </c>
      <c r="N86" s="83">
        <v>-4.4999999999999998E-2</v>
      </c>
      <c r="O86" s="83">
        <v>39.719000000000001</v>
      </c>
    </row>
    <row r="87" spans="2:15" ht="22" customHeight="1" x14ac:dyDescent="0.2">
      <c r="B87" s="135"/>
      <c r="J87" s="71" t="s">
        <v>437</v>
      </c>
      <c r="K87" s="68">
        <v>-4.5999999999999999E-2</v>
      </c>
      <c r="L87" s="68">
        <v>3.3000000000000002E-2</v>
      </c>
      <c r="M87" s="82">
        <v>4.2999999999999997E-2</v>
      </c>
      <c r="N87" s="82">
        <v>-4.3999999999999997E-2</v>
      </c>
      <c r="O87" s="82">
        <v>26.744</v>
      </c>
    </row>
    <row r="88" spans="2:15" ht="22" customHeight="1" x14ac:dyDescent="0.2">
      <c r="B88" s="135"/>
    </row>
    <row r="89" spans="2:15" ht="22" customHeight="1" x14ac:dyDescent="0.2">
      <c r="B89" s="135"/>
    </row>
  </sheetData>
  <mergeCells count="39">
    <mergeCell ref="I62:K62"/>
    <mergeCell ref="K75:K76"/>
    <mergeCell ref="J84:J85"/>
    <mergeCell ref="K84:K85"/>
    <mergeCell ref="L84:L85"/>
    <mergeCell ref="S2:AA2"/>
    <mergeCell ref="M84:M85"/>
    <mergeCell ref="N84:N85"/>
    <mergeCell ref="O84:O85"/>
    <mergeCell ref="T6:T7"/>
    <mergeCell ref="U6:W6"/>
    <mergeCell ref="T8:T9"/>
    <mergeCell ref="O28:P28"/>
    <mergeCell ref="N29:N30"/>
    <mergeCell ref="N31:N32"/>
    <mergeCell ref="N33:N34"/>
    <mergeCell ref="D46:D47"/>
    <mergeCell ref="D61:D63"/>
    <mergeCell ref="E62:E63"/>
    <mergeCell ref="F62:H62"/>
    <mergeCell ref="B3:B23"/>
    <mergeCell ref="B24:B41"/>
    <mergeCell ref="B42:B89"/>
    <mergeCell ref="D64:D65"/>
    <mergeCell ref="E28:F28"/>
    <mergeCell ref="D29:D30"/>
    <mergeCell ref="D31:D32"/>
    <mergeCell ref="D33:D34"/>
    <mergeCell ref="J11:J12"/>
    <mergeCell ref="D43:D45"/>
    <mergeCell ref="E43:F43"/>
    <mergeCell ref="E45:F45"/>
    <mergeCell ref="G45:I45"/>
    <mergeCell ref="J9:J10"/>
    <mergeCell ref="C2:L2"/>
    <mergeCell ref="M2:R2"/>
    <mergeCell ref="K6:L6"/>
    <mergeCell ref="M6:N6"/>
    <mergeCell ref="J7:J8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23D-B2F5-BD40-8E81-C2419FFBC224}">
  <dimension ref="B2:I21"/>
  <sheetViews>
    <sheetView zoomScale="120" zoomScaleNormal="120" workbookViewId="0">
      <selection activeCell="I21" sqref="I21"/>
    </sheetView>
  </sheetViews>
  <sheetFormatPr baseColWidth="10" defaultRowHeight="16" x14ac:dyDescent="0.2"/>
  <cols>
    <col min="2" max="2" width="20.1640625" customWidth="1"/>
    <col min="5" max="5" width="13.6640625" bestFit="1" customWidth="1"/>
    <col min="6" max="6" width="13.5" bestFit="1" customWidth="1"/>
    <col min="7" max="7" width="19.83203125" bestFit="1" customWidth="1"/>
    <col min="8" max="8" width="13.5" customWidth="1"/>
    <col min="9" max="9" width="55" customWidth="1"/>
  </cols>
  <sheetData>
    <row r="2" spans="2:9" x14ac:dyDescent="0.2">
      <c r="B2" s="110" t="s">
        <v>490</v>
      </c>
      <c r="C2" s="110" t="s">
        <v>491</v>
      </c>
      <c r="D2" s="110" t="s">
        <v>492</v>
      </c>
      <c r="E2" s="110" t="s">
        <v>493</v>
      </c>
      <c r="F2" s="110" t="s">
        <v>494</v>
      </c>
      <c r="G2" s="110" t="s">
        <v>495</v>
      </c>
      <c r="H2" s="110" t="s">
        <v>496</v>
      </c>
      <c r="I2" s="110" t="s">
        <v>497</v>
      </c>
    </row>
    <row r="3" spans="2:9" x14ac:dyDescent="0.2">
      <c r="B3" s="152" t="s">
        <v>498</v>
      </c>
      <c r="C3" s="151" t="s">
        <v>499</v>
      </c>
      <c r="D3" s="151" t="s">
        <v>500</v>
      </c>
      <c r="E3" s="151" t="s">
        <v>501</v>
      </c>
      <c r="F3" s="151" t="s">
        <v>502</v>
      </c>
      <c r="G3" s="151" t="s">
        <v>503</v>
      </c>
      <c r="H3" s="151" t="s">
        <v>504</v>
      </c>
      <c r="I3" s="107" t="s">
        <v>534</v>
      </c>
    </row>
    <row r="4" spans="2:9" x14ac:dyDescent="0.2">
      <c r="B4" s="152"/>
      <c r="C4" s="151"/>
      <c r="D4" s="151"/>
      <c r="E4" s="151"/>
      <c r="F4" s="151"/>
      <c r="G4" s="151"/>
      <c r="H4" s="151"/>
      <c r="I4" s="107" t="s">
        <v>505</v>
      </c>
    </row>
    <row r="5" spans="2:9" x14ac:dyDescent="0.2">
      <c r="B5" s="108" t="s">
        <v>506</v>
      </c>
      <c r="C5" s="109" t="s">
        <v>499</v>
      </c>
      <c r="D5" s="109" t="s">
        <v>500</v>
      </c>
      <c r="E5" s="109" t="s">
        <v>507</v>
      </c>
      <c r="F5" s="109" t="s">
        <v>502</v>
      </c>
      <c r="G5" s="109" t="s">
        <v>508</v>
      </c>
      <c r="H5" s="109" t="s">
        <v>509</v>
      </c>
      <c r="I5" s="107" t="s">
        <v>510</v>
      </c>
    </row>
    <row r="6" spans="2:9" x14ac:dyDescent="0.2">
      <c r="B6" s="108" t="s">
        <v>511</v>
      </c>
      <c r="C6" s="109" t="s">
        <v>499</v>
      </c>
      <c r="D6" s="109" t="s">
        <v>500</v>
      </c>
      <c r="E6" s="109" t="s">
        <v>507</v>
      </c>
      <c r="F6" s="109" t="s">
        <v>502</v>
      </c>
      <c r="G6" s="109" t="s">
        <v>508</v>
      </c>
      <c r="H6" s="109" t="s">
        <v>509</v>
      </c>
      <c r="I6" s="107" t="s">
        <v>510</v>
      </c>
    </row>
    <row r="7" spans="2:9" x14ac:dyDescent="0.2">
      <c r="B7" s="108" t="s">
        <v>512</v>
      </c>
      <c r="C7" s="109" t="s">
        <v>513</v>
      </c>
      <c r="D7" s="109" t="s">
        <v>500</v>
      </c>
      <c r="E7" s="109" t="s">
        <v>507</v>
      </c>
      <c r="F7" s="109" t="s">
        <v>502</v>
      </c>
      <c r="G7" s="109" t="s">
        <v>508</v>
      </c>
      <c r="H7" s="109" t="s">
        <v>509</v>
      </c>
      <c r="I7" s="107" t="s">
        <v>510</v>
      </c>
    </row>
    <row r="8" spans="2:9" x14ac:dyDescent="0.2">
      <c r="B8" s="152" t="s">
        <v>514</v>
      </c>
      <c r="C8" s="151" t="s">
        <v>513</v>
      </c>
      <c r="D8" s="151" t="s">
        <v>500</v>
      </c>
      <c r="E8" s="151" t="s">
        <v>507</v>
      </c>
      <c r="F8" s="151" t="s">
        <v>502</v>
      </c>
      <c r="G8" s="151" t="s">
        <v>515</v>
      </c>
      <c r="H8" s="151" t="s">
        <v>516</v>
      </c>
      <c r="I8" s="107" t="s">
        <v>535</v>
      </c>
    </row>
    <row r="9" spans="2:9" x14ac:dyDescent="0.2">
      <c r="B9" s="152"/>
      <c r="C9" s="151"/>
      <c r="D9" s="151"/>
      <c r="E9" s="151"/>
      <c r="F9" s="151"/>
      <c r="G9" s="151"/>
      <c r="H9" s="151"/>
      <c r="I9" s="107" t="s">
        <v>536</v>
      </c>
    </row>
    <row r="10" spans="2:9" x14ac:dyDescent="0.2">
      <c r="B10" s="152"/>
      <c r="C10" s="151"/>
      <c r="D10" s="151"/>
      <c r="E10" s="151"/>
      <c r="F10" s="151"/>
      <c r="G10" s="151"/>
      <c r="H10" s="151"/>
      <c r="I10" s="107" t="s">
        <v>517</v>
      </c>
    </row>
    <row r="11" spans="2:9" x14ac:dyDescent="0.2">
      <c r="B11" s="108" t="s">
        <v>518</v>
      </c>
      <c r="C11" s="109" t="s">
        <v>499</v>
      </c>
      <c r="D11" s="109" t="s">
        <v>500</v>
      </c>
      <c r="E11" s="109" t="s">
        <v>507</v>
      </c>
      <c r="F11" s="109" t="s">
        <v>502</v>
      </c>
      <c r="G11" s="109" t="s">
        <v>519</v>
      </c>
      <c r="H11" s="109" t="s">
        <v>520</v>
      </c>
      <c r="I11" s="107" t="s">
        <v>533</v>
      </c>
    </row>
    <row r="12" spans="2:9" x14ac:dyDescent="0.2">
      <c r="B12" s="108" t="s">
        <v>521</v>
      </c>
      <c r="C12" s="109" t="s">
        <v>522</v>
      </c>
      <c r="D12" s="109" t="s">
        <v>523</v>
      </c>
      <c r="E12" s="109" t="s">
        <v>507</v>
      </c>
      <c r="F12" s="109" t="s">
        <v>502</v>
      </c>
      <c r="G12" s="109" t="s">
        <v>519</v>
      </c>
      <c r="H12" s="109" t="s">
        <v>524</v>
      </c>
      <c r="I12" s="107" t="s">
        <v>538</v>
      </c>
    </row>
    <row r="13" spans="2:9" x14ac:dyDescent="0.2">
      <c r="B13" s="108" t="s">
        <v>525</v>
      </c>
      <c r="C13" s="109" t="s">
        <v>499</v>
      </c>
      <c r="D13" s="109" t="s">
        <v>500</v>
      </c>
      <c r="E13" s="109" t="s">
        <v>507</v>
      </c>
      <c r="F13" s="109" t="s">
        <v>502</v>
      </c>
      <c r="G13" s="109" t="s">
        <v>508</v>
      </c>
      <c r="H13" s="109" t="s">
        <v>526</v>
      </c>
      <c r="I13" s="107" t="s">
        <v>537</v>
      </c>
    </row>
    <row r="14" spans="2:9" x14ac:dyDescent="0.2">
      <c r="B14" s="152" t="s">
        <v>527</v>
      </c>
      <c r="C14" s="151" t="s">
        <v>513</v>
      </c>
      <c r="D14" s="151" t="s">
        <v>500</v>
      </c>
      <c r="E14" s="151" t="s">
        <v>507</v>
      </c>
      <c r="F14" s="151" t="s">
        <v>502</v>
      </c>
      <c r="G14" s="151" t="s">
        <v>503</v>
      </c>
      <c r="H14" s="151" t="s">
        <v>520</v>
      </c>
      <c r="I14" s="107" t="s">
        <v>528</v>
      </c>
    </row>
    <row r="15" spans="2:9" x14ac:dyDescent="0.2">
      <c r="B15" s="152"/>
      <c r="C15" s="151"/>
      <c r="D15" s="151"/>
      <c r="E15" s="151"/>
      <c r="F15" s="151"/>
      <c r="G15" s="151"/>
      <c r="H15" s="151"/>
      <c r="I15" s="107" t="s">
        <v>529</v>
      </c>
    </row>
    <row r="16" spans="2:9" x14ac:dyDescent="0.2">
      <c r="B16" s="152" t="s">
        <v>530</v>
      </c>
      <c r="C16" s="151" t="s">
        <v>513</v>
      </c>
      <c r="D16" s="151" t="s">
        <v>500</v>
      </c>
      <c r="E16" s="151" t="s">
        <v>501</v>
      </c>
      <c r="F16" s="151" t="s">
        <v>502</v>
      </c>
      <c r="G16" s="151" t="s">
        <v>515</v>
      </c>
      <c r="H16" s="151" t="s">
        <v>509</v>
      </c>
      <c r="I16" s="107" t="s">
        <v>531</v>
      </c>
    </row>
    <row r="17" spans="2:9" x14ac:dyDescent="0.2">
      <c r="B17" s="152"/>
      <c r="C17" s="151"/>
      <c r="D17" s="151"/>
      <c r="E17" s="151"/>
      <c r="F17" s="151"/>
      <c r="G17" s="151"/>
      <c r="H17" s="151"/>
      <c r="I17" s="107" t="s">
        <v>539</v>
      </c>
    </row>
    <row r="18" spans="2:9" x14ac:dyDescent="0.2">
      <c r="B18" s="152"/>
      <c r="C18" s="151"/>
      <c r="D18" s="151"/>
      <c r="E18" s="151"/>
      <c r="F18" s="151"/>
      <c r="G18" s="151"/>
      <c r="H18" s="151"/>
      <c r="I18" s="107" t="s">
        <v>532</v>
      </c>
    </row>
    <row r="19" spans="2:9" x14ac:dyDescent="0.2">
      <c r="B19" s="153" t="s">
        <v>525</v>
      </c>
      <c r="C19" s="150" t="s">
        <v>499</v>
      </c>
      <c r="D19" s="150" t="s">
        <v>500</v>
      </c>
      <c r="E19" s="150" t="s">
        <v>507</v>
      </c>
      <c r="F19" s="150" t="s">
        <v>502</v>
      </c>
      <c r="G19" s="150" t="s">
        <v>508</v>
      </c>
      <c r="H19" s="150" t="s">
        <v>526</v>
      </c>
      <c r="I19" s="111" t="s">
        <v>540</v>
      </c>
    </row>
    <row r="20" spans="2:9" x14ac:dyDescent="0.2">
      <c r="B20" s="153"/>
      <c r="C20" s="150"/>
      <c r="D20" s="150"/>
      <c r="E20" s="150"/>
      <c r="F20" s="150"/>
      <c r="G20" s="150"/>
      <c r="H20" s="150"/>
      <c r="I20" s="111" t="s">
        <v>541</v>
      </c>
    </row>
    <row r="21" spans="2:9" x14ac:dyDescent="0.2">
      <c r="B21" s="112" t="s">
        <v>518</v>
      </c>
      <c r="C21" s="113" t="s">
        <v>499</v>
      </c>
      <c r="D21" s="113" t="s">
        <v>500</v>
      </c>
      <c r="E21" s="113" t="s">
        <v>507</v>
      </c>
      <c r="F21" s="113" t="s">
        <v>502</v>
      </c>
      <c r="G21" s="113" t="s">
        <v>519</v>
      </c>
      <c r="H21" s="113" t="s">
        <v>520</v>
      </c>
      <c r="I21" s="114" t="s">
        <v>533</v>
      </c>
    </row>
  </sheetData>
  <mergeCells count="35">
    <mergeCell ref="H19:H20"/>
    <mergeCell ref="F16:F18"/>
    <mergeCell ref="G16:G18"/>
    <mergeCell ref="H16:H18"/>
    <mergeCell ref="B14:B15"/>
    <mergeCell ref="C14:C15"/>
    <mergeCell ref="D14:D15"/>
    <mergeCell ref="E14:E15"/>
    <mergeCell ref="F14:F15"/>
    <mergeCell ref="G14:G15"/>
    <mergeCell ref="H14:H15"/>
    <mergeCell ref="B16:B18"/>
    <mergeCell ref="C16:C18"/>
    <mergeCell ref="D16:D18"/>
    <mergeCell ref="E16:E18"/>
    <mergeCell ref="B19:B20"/>
    <mergeCell ref="H3:H4"/>
    <mergeCell ref="B8:B10"/>
    <mergeCell ref="C8:C10"/>
    <mergeCell ref="D8:D10"/>
    <mergeCell ref="E8:E10"/>
    <mergeCell ref="F8:F10"/>
    <mergeCell ref="G8:G10"/>
    <mergeCell ref="H8:H10"/>
    <mergeCell ref="B3:B4"/>
    <mergeCell ref="C3:C4"/>
    <mergeCell ref="D3:D4"/>
    <mergeCell ref="E3:E4"/>
    <mergeCell ref="F3:F4"/>
    <mergeCell ref="G3:G4"/>
    <mergeCell ref="C19:C20"/>
    <mergeCell ref="D19:D20"/>
    <mergeCell ref="E19:E20"/>
    <mergeCell ref="F19:F20"/>
    <mergeCell ref="G19:G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zoomScale="80" zoomScaleNormal="80" workbookViewId="0">
      <selection activeCell="K34" sqref="K34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P26" sqref="P26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161" t="s">
        <v>346</v>
      </c>
      <c r="D3" s="161"/>
      <c r="E3" s="161" t="s">
        <v>348</v>
      </c>
      <c r="F3" s="161"/>
      <c r="H3" s="15" t="s">
        <v>345</v>
      </c>
      <c r="I3" s="161" t="s">
        <v>349</v>
      </c>
      <c r="J3" s="161"/>
      <c r="K3" s="161" t="s">
        <v>350</v>
      </c>
      <c r="L3" s="161"/>
      <c r="N3" s="15" t="s">
        <v>345</v>
      </c>
      <c r="O3" s="161" t="s">
        <v>352</v>
      </c>
      <c r="P3" s="161"/>
    </row>
    <row r="4" spans="2:16" ht="16" customHeight="1" x14ac:dyDescent="0.2">
      <c r="B4" s="158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158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158" t="s">
        <v>334</v>
      </c>
      <c r="O4" s="13" t="s">
        <v>64</v>
      </c>
      <c r="P4" s="13" t="s">
        <v>53</v>
      </c>
    </row>
    <row r="5" spans="2:16" x14ac:dyDescent="0.2">
      <c r="B5" s="158"/>
      <c r="C5" s="13" t="s">
        <v>16</v>
      </c>
      <c r="D5" s="13" t="s">
        <v>30</v>
      </c>
      <c r="E5" s="13" t="s">
        <v>18</v>
      </c>
      <c r="F5" s="13" t="s">
        <v>73</v>
      </c>
      <c r="H5" s="158"/>
      <c r="I5" s="13" t="s">
        <v>29</v>
      </c>
      <c r="J5" s="13" t="s">
        <v>235</v>
      </c>
      <c r="K5" s="13" t="s">
        <v>24</v>
      </c>
      <c r="L5" s="13" t="s">
        <v>263</v>
      </c>
      <c r="N5" s="158"/>
      <c r="O5" s="13" t="s">
        <v>65</v>
      </c>
      <c r="P5" s="13" t="s">
        <v>239</v>
      </c>
    </row>
    <row r="6" spans="2:16" ht="16" customHeight="1" x14ac:dyDescent="0.2">
      <c r="B6" s="158" t="s">
        <v>364</v>
      </c>
      <c r="C6" s="13"/>
      <c r="D6" s="13" t="s">
        <v>76</v>
      </c>
      <c r="E6" s="13"/>
      <c r="F6" s="13" t="s">
        <v>77</v>
      </c>
      <c r="H6" s="158" t="s">
        <v>360</v>
      </c>
      <c r="J6" s="13" t="s">
        <v>265</v>
      </c>
      <c r="K6" s="13"/>
      <c r="L6" s="13" t="s">
        <v>266</v>
      </c>
      <c r="N6" s="158" t="s">
        <v>360</v>
      </c>
      <c r="P6" s="13" t="s">
        <v>97</v>
      </c>
    </row>
    <row r="7" spans="2:16" x14ac:dyDescent="0.2">
      <c r="B7" s="158"/>
      <c r="C7" s="13"/>
      <c r="D7" s="13" t="s">
        <v>26</v>
      </c>
      <c r="E7" s="13"/>
      <c r="F7" s="13" t="s">
        <v>78</v>
      </c>
      <c r="H7" s="158"/>
      <c r="J7" s="13" t="s">
        <v>213</v>
      </c>
      <c r="K7" s="13"/>
      <c r="L7" s="13" t="s">
        <v>78</v>
      </c>
      <c r="N7" s="158"/>
      <c r="P7" s="13" t="s">
        <v>241</v>
      </c>
    </row>
    <row r="8" spans="2:16" ht="16" customHeight="1" x14ac:dyDescent="0.2">
      <c r="B8" s="158" t="s">
        <v>365</v>
      </c>
      <c r="C8" s="13"/>
      <c r="D8" s="13" t="s">
        <v>80</v>
      </c>
      <c r="E8" s="13"/>
      <c r="F8" s="13" t="s">
        <v>81</v>
      </c>
      <c r="H8" s="158" t="s">
        <v>361</v>
      </c>
      <c r="J8" s="13" t="s">
        <v>268</v>
      </c>
      <c r="K8" s="13"/>
      <c r="L8" s="13" t="s">
        <v>269</v>
      </c>
      <c r="N8" s="158" t="s">
        <v>361</v>
      </c>
      <c r="P8" s="13" t="s">
        <v>273</v>
      </c>
    </row>
    <row r="9" spans="2:16" x14ac:dyDescent="0.2">
      <c r="B9" s="159"/>
      <c r="C9" s="16"/>
      <c r="D9" s="16" t="s">
        <v>85</v>
      </c>
      <c r="E9" s="16"/>
      <c r="F9" s="16" t="s">
        <v>86</v>
      </c>
      <c r="H9" s="158"/>
      <c r="J9" s="13" t="s">
        <v>163</v>
      </c>
      <c r="K9" s="13"/>
      <c r="L9" s="13" t="s">
        <v>274</v>
      </c>
      <c r="N9" s="158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158" t="s">
        <v>362</v>
      </c>
      <c r="I10" s="13"/>
      <c r="J10" s="13" t="s">
        <v>276</v>
      </c>
      <c r="K10" s="13"/>
      <c r="L10" s="13" t="s">
        <v>277</v>
      </c>
      <c r="N10" s="158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158"/>
      <c r="I11" s="13"/>
      <c r="J11" s="13" t="s">
        <v>251</v>
      </c>
      <c r="K11" s="13"/>
      <c r="L11" s="13" t="s">
        <v>20</v>
      </c>
      <c r="N11" s="158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158" t="s">
        <v>363</v>
      </c>
      <c r="I12" s="13"/>
      <c r="J12" s="13" t="s">
        <v>281</v>
      </c>
      <c r="K12" s="13"/>
      <c r="L12" s="13" t="s">
        <v>112</v>
      </c>
      <c r="N12" s="158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159"/>
      <c r="I13" s="16"/>
      <c r="J13" s="16" t="s">
        <v>210</v>
      </c>
      <c r="K13" s="16"/>
      <c r="L13" s="16" t="s">
        <v>286</v>
      </c>
      <c r="N13" s="159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29" t="s">
        <v>388</v>
      </c>
      <c r="C20" s="161" t="s">
        <v>399</v>
      </c>
      <c r="D20" s="161"/>
      <c r="E20" s="161" t="s">
        <v>400</v>
      </c>
      <c r="F20" s="161"/>
    </row>
    <row r="21" spans="2:16" ht="16" customHeight="1" x14ac:dyDescent="0.2">
      <c r="B21" s="158" t="s">
        <v>334</v>
      </c>
      <c r="C21" s="13" t="s">
        <v>6</v>
      </c>
      <c r="D21" s="13" t="s">
        <v>67</v>
      </c>
      <c r="E21" s="13" t="s">
        <v>41</v>
      </c>
      <c r="F21" s="13" t="s">
        <v>387</v>
      </c>
    </row>
    <row r="22" spans="2:16" x14ac:dyDescent="0.2">
      <c r="B22" s="158"/>
      <c r="C22" s="13" t="s">
        <v>16</v>
      </c>
      <c r="D22" s="13" t="s">
        <v>30</v>
      </c>
      <c r="E22" s="13" t="s">
        <v>383</v>
      </c>
      <c r="F22" s="13" t="s">
        <v>88</v>
      </c>
    </row>
    <row r="23" spans="2:16" ht="16" customHeight="1" x14ac:dyDescent="0.2">
      <c r="B23" s="158" t="s">
        <v>401</v>
      </c>
      <c r="C23" s="13"/>
      <c r="D23" s="13" t="s">
        <v>76</v>
      </c>
      <c r="E23" s="13"/>
      <c r="F23" s="13" t="s">
        <v>384</v>
      </c>
    </row>
    <row r="24" spans="2:16" x14ac:dyDescent="0.2">
      <c r="B24" s="158"/>
      <c r="C24" s="13"/>
      <c r="D24" s="13" t="s">
        <v>26</v>
      </c>
      <c r="E24" s="13"/>
      <c r="F24" s="13" t="s">
        <v>16</v>
      </c>
    </row>
    <row r="25" spans="2:16" ht="16" customHeight="1" x14ac:dyDescent="0.2">
      <c r="B25" s="158" t="s">
        <v>402</v>
      </c>
      <c r="C25" s="13"/>
      <c r="D25" s="13" t="s">
        <v>80</v>
      </c>
      <c r="E25" s="13"/>
      <c r="F25" s="13" t="s">
        <v>385</v>
      </c>
    </row>
    <row r="26" spans="2:16" x14ac:dyDescent="0.2">
      <c r="B26" s="159"/>
      <c r="C26" s="16"/>
      <c r="D26" s="16" t="s">
        <v>85</v>
      </c>
      <c r="E26" s="16"/>
      <c r="F26" s="16" t="s">
        <v>99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386</v>
      </c>
      <c r="F30" s="16" t="s">
        <v>386</v>
      </c>
    </row>
    <row r="32" spans="2:16" ht="16" customHeight="1" x14ac:dyDescent="0.2"/>
    <row r="34" spans="2:7" ht="16" customHeight="1" x14ac:dyDescent="0.2"/>
    <row r="44" spans="2:7" x14ac:dyDescent="0.2">
      <c r="B44" s="160" t="s">
        <v>324</v>
      </c>
      <c r="C44" s="160" t="s">
        <v>325</v>
      </c>
      <c r="D44" s="160"/>
      <c r="E44" s="160"/>
      <c r="F44" s="160" t="s">
        <v>326</v>
      </c>
      <c r="G44" s="160" t="s">
        <v>327</v>
      </c>
    </row>
    <row r="45" spans="2:7" x14ac:dyDescent="0.2">
      <c r="B45" s="154"/>
      <c r="C45" s="19" t="s">
        <v>328</v>
      </c>
      <c r="D45" s="19" t="s">
        <v>329</v>
      </c>
      <c r="E45" s="19" t="s">
        <v>330</v>
      </c>
      <c r="F45" s="155"/>
      <c r="G45" s="155"/>
    </row>
    <row r="46" spans="2:7" x14ac:dyDescent="0.2">
      <c r="B46" s="156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154" t="str">
        <f>"0.000"</f>
        <v>0.000</v>
      </c>
      <c r="G46" s="154" t="str">
        <f>"2702.000"</f>
        <v>2702.000</v>
      </c>
    </row>
    <row r="47" spans="2:7" x14ac:dyDescent="0.2">
      <c r="B47" s="156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154"/>
      <c r="G47" s="154"/>
    </row>
    <row r="48" spans="2:7" x14ac:dyDescent="0.2">
      <c r="B48" s="156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154" t="str">
        <f>"0.000"</f>
        <v>0.000</v>
      </c>
      <c r="G48" s="154" t="str">
        <f>"8.000"</f>
        <v>8.000</v>
      </c>
    </row>
    <row r="49" spans="2:7" x14ac:dyDescent="0.2">
      <c r="B49" s="156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154"/>
      <c r="G49" s="154"/>
    </row>
    <row r="50" spans="2:7" x14ac:dyDescent="0.2">
      <c r="B50" s="156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154" t="str">
        <f>"-0.048"</f>
        <v>-0.048</v>
      </c>
      <c r="G50" s="154" t="str">
        <f>"0.991"</f>
        <v>0.991</v>
      </c>
    </row>
    <row r="51" spans="2:7" x14ac:dyDescent="0.2">
      <c r="B51" s="156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154"/>
      <c r="G51" s="154"/>
    </row>
    <row r="52" spans="2:7" x14ac:dyDescent="0.2">
      <c r="B52" s="156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154" t="str">
        <f>"-3.000"</f>
        <v>-3.000</v>
      </c>
      <c r="G52" s="154" t="str">
        <f>"14.000"</f>
        <v>14.000</v>
      </c>
    </row>
    <row r="53" spans="2:7" x14ac:dyDescent="0.2">
      <c r="B53" s="156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154"/>
      <c r="G53" s="154"/>
    </row>
    <row r="54" spans="2:7" x14ac:dyDescent="0.2">
      <c r="B54" s="156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154" t="str">
        <f>"0.000"</f>
        <v>0.000</v>
      </c>
      <c r="G54" s="154" t="str">
        <f>"6.977"</f>
        <v>6.977</v>
      </c>
    </row>
    <row r="55" spans="2:7" x14ac:dyDescent="0.2">
      <c r="B55" s="156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154"/>
      <c r="G55" s="154"/>
    </row>
    <row r="56" spans="2:7" x14ac:dyDescent="0.2">
      <c r="B56" s="156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154" t="str">
        <f>"0.000"</f>
        <v>0.000</v>
      </c>
      <c r="G56" s="154" t="str">
        <f>"0.891"</f>
        <v>0.891</v>
      </c>
    </row>
    <row r="57" spans="2:7" x14ac:dyDescent="0.2">
      <c r="B57" s="156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154"/>
      <c r="G57" s="154"/>
    </row>
    <row r="58" spans="2:7" x14ac:dyDescent="0.2">
      <c r="B58" s="156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154" t="str">
        <f>"0.000"</f>
        <v>0.000</v>
      </c>
      <c r="G58" s="154" t="str">
        <f>"7.912"</f>
        <v>7.912</v>
      </c>
    </row>
    <row r="59" spans="2:7" x14ac:dyDescent="0.2">
      <c r="B59" s="156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154"/>
      <c r="G59" s="154"/>
    </row>
    <row r="60" spans="2:7" x14ac:dyDescent="0.2">
      <c r="B60" s="156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154" t="str">
        <f>"-0.090"</f>
        <v>-0.090</v>
      </c>
      <c r="G60" s="154" t="str">
        <f>"0.911"</f>
        <v>0.911</v>
      </c>
    </row>
    <row r="61" spans="2:7" x14ac:dyDescent="0.2">
      <c r="B61" s="157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155"/>
      <c r="G61" s="155"/>
    </row>
  </sheetData>
  <mergeCells count="51">
    <mergeCell ref="H8:H9"/>
    <mergeCell ref="B21:B22"/>
    <mergeCell ref="B23:B24"/>
    <mergeCell ref="B25:B26"/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E20:F20"/>
    <mergeCell ref="B50:B51"/>
    <mergeCell ref="F50:F51"/>
    <mergeCell ref="B60:B61"/>
    <mergeCell ref="F60:F61"/>
    <mergeCell ref="G50:G51"/>
    <mergeCell ref="B52:B53"/>
    <mergeCell ref="F52:F53"/>
    <mergeCell ref="G52:G53"/>
    <mergeCell ref="G60:G61"/>
    <mergeCell ref="G54:G55"/>
    <mergeCell ref="B56:B57"/>
    <mergeCell ref="F56:F57"/>
    <mergeCell ref="G56:G57"/>
    <mergeCell ref="B58:B59"/>
    <mergeCell ref="F58:F59"/>
    <mergeCell ref="G58:G59"/>
    <mergeCell ref="B54:B55"/>
    <mergeCell ref="F54:F55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G53" sqref="G53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164" t="s">
        <v>179</v>
      </c>
      <c r="C2" s="3"/>
      <c r="D2" s="166" t="s">
        <v>0</v>
      </c>
      <c r="E2" s="166"/>
      <c r="F2" s="166" t="s">
        <v>1</v>
      </c>
      <c r="G2" s="166"/>
      <c r="H2" s="8" t="s">
        <v>124</v>
      </c>
      <c r="I2" s="8" t="s">
        <v>125</v>
      </c>
      <c r="J2" s="8" t="s">
        <v>126</v>
      </c>
      <c r="K2" s="166" t="s">
        <v>2</v>
      </c>
      <c r="L2" s="166"/>
    </row>
    <row r="3" spans="2:12" hidden="1" x14ac:dyDescent="0.2">
      <c r="B3" s="165"/>
      <c r="C3" s="162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165"/>
      <c r="C4" s="163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165"/>
      <c r="C5" s="162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165"/>
      <c r="C6" s="163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165"/>
      <c r="C7" s="162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165"/>
      <c r="C8" s="163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165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164" t="s">
        <v>180</v>
      </c>
      <c r="C11" s="3"/>
      <c r="D11" s="166" t="s">
        <v>3</v>
      </c>
      <c r="E11" s="166"/>
      <c r="F11" s="166" t="s">
        <v>4</v>
      </c>
      <c r="G11" s="166"/>
      <c r="H11" s="8" t="s">
        <v>124</v>
      </c>
      <c r="I11" s="8" t="s">
        <v>125</v>
      </c>
      <c r="J11" s="8" t="s">
        <v>126</v>
      </c>
      <c r="K11" s="166" t="s">
        <v>127</v>
      </c>
      <c r="L11" s="166"/>
    </row>
    <row r="12" spans="2:12" hidden="1" x14ac:dyDescent="0.2">
      <c r="B12" s="165"/>
      <c r="C12" s="162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165"/>
      <c r="C13" s="163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165"/>
      <c r="C14" s="162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165"/>
      <c r="C15" s="163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165"/>
      <c r="C16" s="162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165"/>
      <c r="C17" s="163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165"/>
      <c r="C18" s="162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165"/>
      <c r="C19" s="163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165"/>
      <c r="C20" s="162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165"/>
      <c r="C21" s="163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165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164" t="s">
        <v>177</v>
      </c>
      <c r="C25" s="3"/>
      <c r="D25" s="166" t="s">
        <v>0</v>
      </c>
      <c r="E25" s="166"/>
      <c r="F25" s="166" t="s">
        <v>1</v>
      </c>
      <c r="G25" s="166"/>
      <c r="H25" s="8" t="s">
        <v>124</v>
      </c>
      <c r="I25" s="8" t="s">
        <v>125</v>
      </c>
      <c r="J25" s="8" t="s">
        <v>126</v>
      </c>
      <c r="K25" s="166" t="s">
        <v>2</v>
      </c>
      <c r="L25" s="166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165"/>
      <c r="C26" s="162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165"/>
      <c r="C27" s="163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165"/>
      <c r="C28" s="162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165"/>
      <c r="C29" s="163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165"/>
      <c r="C30" s="162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165"/>
      <c r="C31" s="163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165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164" t="s">
        <v>178</v>
      </c>
      <c r="C34" s="3"/>
      <c r="D34" s="166" t="s">
        <v>3</v>
      </c>
      <c r="E34" s="166"/>
      <c r="F34" s="166" t="s">
        <v>4</v>
      </c>
      <c r="G34" s="166"/>
      <c r="H34" s="8" t="s">
        <v>124</v>
      </c>
      <c r="I34" s="8" t="s">
        <v>125</v>
      </c>
      <c r="J34" s="8" t="s">
        <v>126</v>
      </c>
      <c r="K34" s="166" t="s">
        <v>127</v>
      </c>
      <c r="L34" s="166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165"/>
      <c r="C35" s="162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165"/>
      <c r="C36" s="163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165"/>
      <c r="C37" s="162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165"/>
      <c r="C38" s="163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165"/>
      <c r="C39" s="162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165"/>
      <c r="C40" s="163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165"/>
      <c r="C41" s="162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165"/>
      <c r="C42" s="163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165"/>
      <c r="C43" s="162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165"/>
      <c r="C44" s="163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165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164" t="s">
        <v>130</v>
      </c>
      <c r="C47" s="3"/>
      <c r="D47" s="166" t="s">
        <v>0</v>
      </c>
      <c r="E47" s="166"/>
      <c r="F47" s="166" t="s">
        <v>1</v>
      </c>
      <c r="G47" s="166"/>
      <c r="H47" s="24" t="s">
        <v>124</v>
      </c>
      <c r="I47" s="24" t="s">
        <v>125</v>
      </c>
      <c r="J47" s="24" t="s">
        <v>126</v>
      </c>
      <c r="K47" s="167" t="s">
        <v>2</v>
      </c>
      <c r="L47" s="167"/>
    </row>
    <row r="48" spans="2:24" x14ac:dyDescent="0.2">
      <c r="B48" s="165"/>
      <c r="C48" s="162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165"/>
      <c r="C49" s="163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165"/>
      <c r="C50" s="162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165"/>
      <c r="C51" s="163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165"/>
      <c r="C52" s="162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165"/>
      <c r="C53" s="163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165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164" t="s">
        <v>131</v>
      </c>
      <c r="C56" s="3"/>
      <c r="D56" s="166" t="s">
        <v>3</v>
      </c>
      <c r="E56" s="166"/>
      <c r="F56" s="166" t="s">
        <v>4</v>
      </c>
      <c r="G56" s="166"/>
      <c r="H56" s="8" t="s">
        <v>124</v>
      </c>
      <c r="I56" s="8" t="s">
        <v>125</v>
      </c>
      <c r="J56" s="8" t="s">
        <v>126</v>
      </c>
      <c r="K56" s="166" t="s">
        <v>127</v>
      </c>
      <c r="L56" s="166"/>
    </row>
    <row r="57" spans="2:12" x14ac:dyDescent="0.2">
      <c r="B57" s="165"/>
      <c r="C57" s="162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165"/>
      <c r="C58" s="163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165"/>
      <c r="C59" s="162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165"/>
      <c r="C60" s="163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165"/>
      <c r="C61" s="162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165"/>
      <c r="C62" s="163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165"/>
      <c r="C63" s="162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165"/>
      <c r="C64" s="163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165"/>
      <c r="C65" s="162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165"/>
      <c r="C66" s="163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165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164" t="s">
        <v>132</v>
      </c>
      <c r="C69" s="3"/>
      <c r="D69" s="166" t="s">
        <v>0</v>
      </c>
      <c r="E69" s="166"/>
      <c r="F69" s="166" t="s">
        <v>1</v>
      </c>
      <c r="G69" s="166"/>
      <c r="H69" s="8" t="s">
        <v>124</v>
      </c>
      <c r="I69" s="8" t="s">
        <v>125</v>
      </c>
      <c r="J69" s="8" t="s">
        <v>126</v>
      </c>
      <c r="K69" s="166" t="s">
        <v>2</v>
      </c>
      <c r="L69" s="166"/>
    </row>
    <row r="70" spans="2:12" hidden="1" x14ac:dyDescent="0.2">
      <c r="B70" s="165"/>
      <c r="C70" s="162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165"/>
      <c r="C71" s="163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165"/>
      <c r="C72" s="162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165"/>
      <c r="C73" s="163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165"/>
      <c r="C74" s="162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165"/>
      <c r="C75" s="163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165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164" t="s">
        <v>133</v>
      </c>
      <c r="C78" s="3"/>
      <c r="D78" s="166" t="s">
        <v>3</v>
      </c>
      <c r="E78" s="166"/>
      <c r="F78" s="166" t="s">
        <v>4</v>
      </c>
      <c r="G78" s="166"/>
      <c r="H78" s="8" t="s">
        <v>124</v>
      </c>
      <c r="I78" s="8" t="s">
        <v>125</v>
      </c>
      <c r="J78" s="8" t="s">
        <v>126</v>
      </c>
      <c r="K78" s="166" t="s">
        <v>127</v>
      </c>
      <c r="L78" s="166"/>
    </row>
    <row r="79" spans="2:12" hidden="1" x14ac:dyDescent="0.2">
      <c r="B79" s="165"/>
      <c r="C79" s="162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165"/>
      <c r="C80" s="163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165"/>
      <c r="C81" s="162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165"/>
      <c r="C82" s="163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165"/>
      <c r="C83" s="162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165"/>
      <c r="C84" s="163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165"/>
      <c r="C85" s="162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165"/>
      <c r="C86" s="163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165"/>
      <c r="C87" s="162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165"/>
      <c r="C88" s="163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165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  <mergeCell ref="D25:E25"/>
    <mergeCell ref="F25:G25"/>
    <mergeCell ref="K25:L25"/>
    <mergeCell ref="C26:C27"/>
    <mergeCell ref="C28:C29"/>
    <mergeCell ref="D2:E2"/>
    <mergeCell ref="F2:G2"/>
    <mergeCell ref="K2:L2"/>
    <mergeCell ref="D11:E11"/>
    <mergeCell ref="F11:G11"/>
    <mergeCell ref="K11:L11"/>
    <mergeCell ref="D56:E56"/>
    <mergeCell ref="F56:G56"/>
    <mergeCell ref="K56:L56"/>
    <mergeCell ref="D47:E47"/>
    <mergeCell ref="F47:G47"/>
    <mergeCell ref="K47:L47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B2:B9"/>
    <mergeCell ref="B11:B22"/>
    <mergeCell ref="B47:B54"/>
    <mergeCell ref="B56:B67"/>
    <mergeCell ref="B69:B76"/>
    <mergeCell ref="B25:B32"/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Theory</vt:lpstr>
      <vt:lpstr>Result</vt:lpstr>
      <vt:lpstr>Results (with table)</vt:lpstr>
      <vt:lpstr>Literature Review</vt:lpstr>
      <vt:lpstr>interaction plot (20260608)</vt:lpstr>
      <vt:lpstr>table in paper</vt:lpstr>
      <vt:lpstr>Sheet1</vt:lpstr>
      <vt:lpstr>Sheet3</vt:lpstr>
      <vt:lpstr>interaction plot</vt:lpstr>
      <vt:lpstr>'Literature Review'!_Hlk194498603</vt:lpstr>
      <vt:lpstr>'Results (with table)'!_Ref194135344</vt:lpstr>
      <vt:lpstr>'Results (with table)'!_Ref210225085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2026-07-07T07:08:40Z</dcterms:modified>
</cp:coreProperties>
</file>