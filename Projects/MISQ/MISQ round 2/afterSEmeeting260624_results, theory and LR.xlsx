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"/>
    </mc:Choice>
  </mc:AlternateContent>
  <xr:revisionPtr revIDLastSave="0" documentId="13_ncr:1_{7B4D7513-BD89-3344-A36F-0C37B2F8F294}" xr6:coauthVersionLast="47" xr6:coauthVersionMax="47" xr10:uidLastSave="{00000000-0000-0000-0000-000000000000}"/>
  <bookViews>
    <workbookView xWindow="0" yWindow="760" windowWidth="38400" windowHeight="19340" activeTab="1" xr2:uid="{30F402B7-E6D8-E34B-8063-713AC97DE139}"/>
  </bookViews>
  <sheets>
    <sheet name="Results" sheetId="7" r:id="rId1"/>
    <sheet name="Theory" sheetId="8" r:id="rId2"/>
    <sheet name="Literature Review" sheetId="9" r:id="rId3"/>
    <sheet name="interaction plot (20260608)" sheetId="6" r:id="rId4"/>
    <sheet name="table in paper" sheetId="3" r:id="rId5"/>
    <sheet name="Sheet1" sheetId="1" r:id="rId6"/>
    <sheet name="Sheet3" sheetId="5" r:id="rId7"/>
    <sheet name="interaction plot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<sst xmlns="http://schemas.openxmlformats.org/spreadsheetml/2006/main" count="934" uniqueCount="404">
  <si>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</si>
  <si>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</si>
  <si>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</si>
  <si>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</si>
  <si>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</si>
  <si>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</si>
  <si>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</si>
  <si>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</si>
  <si>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</si>
  <si>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</si>
  <si>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</si>
  <si>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</si>
  <si>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</si>
  <si>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</si>
  <si>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</si>
  <si>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</si>
  <si>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</si>
  <si>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</si>
  <si>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</si>
  <si>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</si>
  <si>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</si>
  <si>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</si>
  <si>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</si>
  <si>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</si>
  <si>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</si>
  <si>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</si>
  <si>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</si>
  <si>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</si>
  <si>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</si>
  <si>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</si>
  <si>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</si>
  <si>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</si>
  <si>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</si>
  <si>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</si>
  <si>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</si>
  <si>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</si>
  <si>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</si>
  <si>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</si>
  <si>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</si>
  <si>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</si>
  <si>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</si>
  <si>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</si>
  <si>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</si>
  <si>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</si>
  <si>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</si>
  <si>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</si>
  <si>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</si>
  <si>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</si>
  <si>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</si>
  <si>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</si>
  <si>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</si>
  <si>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</si>
  <si>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</si>
  <si>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</si>
  <si>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</si>
  <si>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</si>
  <si>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</si>
  <si>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</si>
  <si>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</si>
  <si>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</si>
  <si>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</si>
  <si>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</si>
  <si>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</si>
  <si>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</si>
  <si>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</si>
  <si>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</si>
  <si>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</si>
  <si>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</si>
  <si>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</si>
  <si>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</si>
  <si>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</si>
  <si>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</si>
  <si>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</si>
  <si>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</si>
  <si>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</si>
  <si>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</si>
  <si>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</si>
  <si>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</si>
  <si>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</si>
  <si>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</si>
  <si>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</si>
  <si>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</si>
  <si>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</si>
  <si>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</si>
  <si>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</si>
  <si>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</si>
  <si>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</si>
  <si>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</si>
  <si>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</si>
  <si>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</si>
  <si>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</si>
  <si>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</si>
  <si>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</si>
  <si>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</si>
  <si>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</si>
  <si>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</si>
  <si>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</si>
  <si>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</si>
  <si>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</si>
  <si>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</si>
  <si>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</si>
  <si>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</si>
  <si>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</si>
  <si>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</si>
  <si>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</si>
  <si>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</si>
  <si>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</si>
  <si>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</si>
  <si>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</si>
  <si>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</si>
  <si>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</si>
  <si>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</si>
  <si>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</si>
  <si>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</si>
  <si>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</si>
  <si>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</si>
  <si>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</si>
  <si>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</si>
  <si>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</si>
  <si>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</si>
  <si>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</si>
  <si>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</si>
  <si>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</si>
  <si>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</si>
  <si>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</si>
  <si>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</si>
  <si>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</si>
  <si>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</si>
  <si>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</si>
  <si>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</si>
  <si>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</si>
  <si>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</si>
  <si>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</si>
  <si>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</si>
  <si>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</si>
  <si>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</si>
  <si>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</si>
  <si>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</si>
  <si>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</si>
  <si>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</si>
  <si>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</si>
  <si>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</si>
  <si>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</si>
  <si>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</si>
  <si>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</si>
  <si>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</si>
  <si>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</si>
  <si>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</si>
  <si>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</si>
  <si>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</si>
  <si>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</si>
  <si>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</si>
  <si>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</si>
  <si>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</si>
  <si>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</si>
  <si>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</si>
  <si>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</si>
  <si>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</si>
  <si>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</si>
  <si>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</si>
  <si>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</si>
  <si>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</si>
  <si>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</si>
  <si>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</si>
  <si>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</si>
  <si>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</si>
  <si>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</si>
  <si>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</si>
  <si>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</si>
  <si>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</si>
  <si>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</si>
  <si>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</si>
  <si>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</si>
  <si>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</si>
  <si>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</si>
  <si>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</si>
  <si>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</si>
  <si>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</si>
  <si>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</si>
  <si>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</si>
  <si>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</si>
  <si>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</si>
  <si>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</si>
  <si>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</si>
  <si>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</si>
  <si>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</si>
  <si>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</si>
  <si>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</si>
  <si>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</si>
  <si>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</si>
  <si>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</si>
  <si>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</si>
  <si>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</si>
  <si>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</si>
  <si>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</si>
  <si>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</si>
  <si>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</si>
  <si>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</si>
  <si>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</si>
  <si>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</si>
  <si>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</si>
  <si>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</si>
  <si>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</si>
  <si>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</si>
  <si>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</si>
  <si>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</si>
  <si>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</si>
  <si>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</si>
  <si>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</si>
  <si>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</si>
  <si>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</si>
  <si>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</si>
  <si>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</si>
  <si>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</si>
  <si>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</si>
  <si>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</si>
  <si>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</si>
  <si>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</si>
  <si>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</si>
  <si>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</si>
  <si>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</si>
  <si>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</si>
  <si>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</si>
  <si>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</si>
  <si>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</si>
  <si>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</si>
  <si>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</si>
  <si>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</si>
  <si>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</si>
  <si>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</si>
  <si>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</si>
  <si>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</si>
  <si>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</si>
  <si>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</si>
  <si>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</si>
  <si>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</si>
  <si>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</si>
  <si>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</si>
  <si>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</si>
  <si>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</si>
  <si>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</si>
  <si>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</si>
  <si>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</si>
  <si>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</si>
  <si>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</si>
  <si>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</si>
  <si>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</si>
  <si>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</si>
  <si>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</si>
  <si>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</si>
  <si>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</si>
  <si>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</si>
  <si>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</si>
  <si>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</si>
  <si>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</si>
  <si>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</si>
  <si>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</si>
  <si>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</si>
  <si>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</si>
  <si>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</si>
  <si>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</si>
  <si>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</si>
  <si>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</si>
  <si>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</si>
  <si>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</si>
  <si>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</si>
  <si>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</si>
  <si>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</si>
  <si>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</si>
  <si>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</si>
  <si>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</si>
  <si>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</si>
  <si>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</si>
  <si>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</si>
  <si>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</si>
  <si>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</si>
  <si>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</si>
  <si>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</si>
  <si>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</si>
  <si>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</si>
  <si>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</si>
  <si>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</si>
  <si>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</si>
  <si>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</si>
  <si>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</si>
  <si>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</si>
  <si>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</si>
  <si>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</si>
  <si>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</si>
  <si>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</si>
  <si>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</si>
  <si>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</si>
  <si>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</si>
  <si>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</si>
  <si>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</si>
  <si>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</si>
  <si>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</si>
  <si>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</si>
  <si>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</si>
  <si>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</si>
  <si>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</si>
  <si>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</si>
  <si>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</si>
  <si>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</si>
  <si>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</si>
  <si>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</si>
  <si>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</si>
  <si>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</si>
  <si>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</si>
  <si>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</si>
  <si>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</si>
  <si>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</si>
  <si>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</si>
  <si>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</si>
  <si>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</si>
  <si>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</si>
  <si>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</si>
  <si>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</si>
  <si>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</si>
  <si>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</si>
  <si>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</si>
  <si>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</si>
  <si>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</si>
  <si>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</si>
  <si>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</si>
  <si>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</si>
  <si>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</si>
  <si>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</si>
  <si>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</si>
  <si>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</si>
  <si>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</si>
  <si>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</si>
  <si>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</si>
  <si>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</si>
  <si>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</si>
  <si>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</si>
  <si>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</si>
  <si>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</si>
  <si>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</si>
  <si>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</si>
  <si>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</si>
  <si>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</si>
  <si>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</si>
  <si>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</si>
  <si>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</si>
  <si>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</si>
  <si>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</si>
  <si>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</si>
  <si>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</si>
  <si>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</si>
  <si>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</si>
  <si>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</si>
  <si>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</si>
  <si>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</si>
  <si>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</si>
  <si>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</si>
  <si>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</si>
  <si>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</si>
  <si>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</si>
  <si>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</si>
  <si>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</si>
  <si>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</si>
  <si>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</si>
  <si>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</si>
  <si>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</si>
  <si>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</si>
  <si>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</si>
  <si>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</si>
  <si>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</si>
  <si>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</si>
  <si>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</si>
  <si>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</si>
  <si>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</si>
  <si>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</si>
  <si>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</si>
  <si>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</si>
  <si>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</si>
  <si>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</si>
  <si>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</si>
  <si>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</si>
  <si>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</si>
  <si>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</si>
  <si>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</si>
  <si>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(0.007)</t>
  </si>
  <si>
    <t>-0.013</t>
  </si>
  <si>
    <t>0.350 ***</t>
  </si>
  <si>
    <t>first human answer quality (human1SimWithLLMi)</t>
  </si>
  <si>
    <t>2,685</t>
  </si>
  <si>
    <t>-0.120 .</t>
  </si>
  <si>
    <t>DV</t>
  </si>
  <si>
    <t>Contribution (Fast)</t>
  </si>
  <si>
    <t>Answer Quality (Slow)</t>
  </si>
  <si>
    <t>AI Label</t>
  </si>
  <si>
    <r>
      <t xml:space="preserve">H1: </t>
    </r>
    <r>
      <rPr>
        <b/>
        <sz val="16"/>
        <color rgb="FF000000"/>
        <rFont val="Calibri Light"/>
        <family val="2"/>
      </rPr>
      <t>↑</t>
    </r>
  </si>
  <si>
    <r>
      <t xml:space="preserve">H3: </t>
    </r>
    <r>
      <rPr>
        <b/>
        <sz val="16"/>
        <color rgb="FF000000"/>
        <rFont val="Calibri Light"/>
        <family val="2"/>
      </rPr>
      <t>↓</t>
    </r>
  </si>
  <si>
    <t>AI Answer Length</t>
  </si>
  <si>
    <t>—</t>
  </si>
  <si>
    <t>AI Answer Quality</t>
  </si>
  <si>
    <r>
      <t xml:space="preserve">H4: </t>
    </r>
    <r>
      <rPr>
        <b/>
        <sz val="16"/>
        <color rgb="FF000000"/>
        <rFont val="Calibri Light"/>
        <family val="2"/>
      </rPr>
      <t>reverses H3</t>
    </r>
  </si>
  <si>
    <t xml:space="preserve">(Goal Setting Theory)
AI answer quality is a slow-processed cue because it requires deliberate reading. Per Goal Setting Theory, the most difficult goals produce the highest performance. Once experts recognize the AI answer is high quality, it becomes a challenging benchmark. This triggers greater effort and raises human answer quality. </t>
  </si>
  <si>
    <t>(Competitive Arousal Theory)
The AI label is a fast-processed cue, and contribution is a fast, quantity-based decision. Per Competitive Arousal Theory, the mere presence of a rival triggers arousal that drives action. Answerer perceive AI as a weak competitor (because they think they are more experienced in tehcnical question domain like SegmentFault) with high winning probability, so arousal converts directly into increased contribution.</t>
  </si>
  <si>
    <r>
      <t xml:space="preserve">H2: </t>
    </r>
    <r>
      <rPr>
        <b/>
        <sz val="16"/>
        <color rgb="FF000000"/>
        <rFont val="Calibri Light"/>
        <family val="2"/>
      </rPr>
      <t>reverses H1</t>
    </r>
  </si>
  <si>
    <t>(Competitive Dynamics Theory)
Answer length is a fast-processed heuristic cue, and contribution remains a fast decision. Per Competitive Dynamics Theory, when a response requires substantial resource commitment, answerer are less likely to act. A longer AI answer signals higher entry cost without deep reading, which demotivate the arousal-driven contribution.</t>
  </si>
  <si>
    <t>(Downward Social Comparison Theory)
The AI label, though a fast-processed cue, establishes a persistent comparison reference point for the quality-production stage. Answer quality is a slow, effort-intensive outcome. Per Downward Social Comparison Theory, comparing with a weaker target substitutes for instrumental action. This downward social comparison with weak competitor replaces actual effort paid into cultivating answer quality, so answer quality decreases.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</si>
</sst>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  <font>
      <sz val="16"/>
      <color rgb="FF000000"/>
      <name val="Calibri Light"/>
      <family val="2"/>
    </font>
    <font>
      <b/>
      <sz val="16"/>
      <color rgb="FF000000"/>
      <name val="Calibr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6" fillId="0" borderId="5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justify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6" xfId="0" applyNumberFormat="1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9" fillId="0" borderId="7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D4C-7048-B0B0-097CACF67255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AF-DA4D-8724-9A418F2CB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0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50800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13</xdr:row>
      <xdr:rowOff>50800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D18A-C464-364C-95F7-F927C76322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8392-57F3-DA44-A638-CAE1AE9DCA0E}">
  <dimension ref="B1:D8"/>
  <sheetViews>
    <sheetView tabSelected="1" workbookViewId="0">
      <selection activeCell="D5" sqref="D5:D6"/>
    </sheetView>
  </sheetViews>
  <sheetFormatPr baseColWidth="10" defaultRowHeight="16" x14ac:dyDescent="0.2"/>
  <cols>
    <col min="1" max="1" width="10.83203125" style="40"/>
    <col min="2" max="2" width="21.83203125" style="40" bestFit="1" customWidth="1"/>
    <col min="3" max="3" width="67.83203125" style="40" customWidth="1"/>
    <col min="4" max="4" width="88" style="40" customWidth="1"/>
    <col min="5" max="16384" width="10.83203125" style="40"/>
  </cols>
  <sheetData>
    <row r="1" spans="2:4" ht="17" thickBot="1" x14ac:dyDescent="0.25"/>
    <row r="2" spans="2:4" ht="23" thickBot="1" x14ac:dyDescent="0.25">
      <c r="B2" s="41" t="s">
        <v>389</v>
      </c>
      <c r="C2" s="41" t="s">
        <v>390</v>
      </c>
      <c r="D2" s="41" t="s">
        <v>391</v>
      </c>
    </row>
    <row r="3" spans="2:4" ht="22" x14ac:dyDescent="0.2">
      <c r="B3" s="42" t="s">
        <v>392</v>
      </c>
      <c r="C3" s="43" t="s">
        <v>393</v>
      </c>
      <c r="D3" s="43" t="s">
        <v>394</v>
      </c>
    </row>
    <row r="4" spans="2:4" ht="221" thickBot="1" x14ac:dyDescent="0.25">
      <c r="B4" s="44"/>
      <c r="C4" s="45" t="s">
        <v>400</v>
      </c>
      <c r="D4" s="45" t="s">
        <v>403</v>
      </c>
    </row>
    <row r="5" spans="2:4" ht="22" x14ac:dyDescent="0.2">
      <c r="B5" s="42" t="s">
        <v>395</v>
      </c>
      <c r="C5" s="43" t="s">
        <v>401</v>
      </c>
      <c r="D5" s="42" t="s">
        <v>396</v>
      </c>
    </row>
    <row r="6" spans="2:4" ht="177" thickBot="1" x14ac:dyDescent="0.25">
      <c r="B6" s="44"/>
      <c r="C6" s="45" t="s">
        <v>402</v>
      </c>
      <c r="D6" s="44"/>
    </row>
    <row r="7" spans="2:4" ht="22" x14ac:dyDescent="0.2">
      <c r="B7" s="42" t="s">
        <v>397</v>
      </c>
      <c r="C7" s="42" t="s">
        <v>396</v>
      </c>
      <c r="D7" s="43" t="s">
        <v>398</v>
      </c>
    </row>
    <row r="8" spans="2:4" ht="155" thickBot="1" x14ac:dyDescent="0.25">
      <c r="B8" s="44"/>
      <c r="C8" s="44"/>
      <c r="D8" s="45" t="s">
        <v>399</v>
      </c>
    </row>
  </sheetData>
  <mergeCells count="5">
    <mergeCell ref="B3:B4"/>
    <mergeCell ref="B5:B6"/>
    <mergeCell ref="D5:D6"/>
    <mergeCell ref="B7:B8"/>
    <mergeCell ref="C7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23D-B2F5-BD40-8E81-C2419FFBC22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zoomScale="80" zoomScaleNormal="80" workbookViewId="0">
      <selection activeCell="Q52" sqref="Q5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F30" sqref="B19:F30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28" t="s">
        <v>346</v>
      </c>
      <c r="D3" s="28"/>
      <c r="E3" s="28" t="s">
        <v>348</v>
      </c>
      <c r="F3" s="28"/>
      <c r="H3" s="15" t="s">
        <v>345</v>
      </c>
      <c r="I3" s="28" t="s">
        <v>349</v>
      </c>
      <c r="J3" s="28"/>
      <c r="K3" s="28" t="s">
        <v>350</v>
      </c>
      <c r="L3" s="28"/>
      <c r="N3" s="15" t="s">
        <v>345</v>
      </c>
      <c r="O3" s="28" t="s">
        <v>352</v>
      </c>
      <c r="P3" s="28"/>
    </row>
    <row r="4" spans="2:16" ht="16" customHeight="1" x14ac:dyDescent="0.2">
      <c r="B4" s="26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26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26" t="s">
        <v>334</v>
      </c>
      <c r="O4" s="13" t="s">
        <v>64</v>
      </c>
      <c r="P4" s="13" t="s">
        <v>53</v>
      </c>
    </row>
    <row r="5" spans="2:16" x14ac:dyDescent="0.2">
      <c r="B5" s="26"/>
      <c r="C5" s="13" t="s">
        <v>16</v>
      </c>
      <c r="D5" s="13" t="s">
        <v>30</v>
      </c>
      <c r="E5" s="13" t="s">
        <v>18</v>
      </c>
      <c r="F5" s="13" t="s">
        <v>73</v>
      </c>
      <c r="H5" s="26"/>
      <c r="I5" s="13" t="s">
        <v>29</v>
      </c>
      <c r="J5" s="13" t="s">
        <v>235</v>
      </c>
      <c r="K5" s="13" t="s">
        <v>24</v>
      </c>
      <c r="L5" s="13" t="s">
        <v>263</v>
      </c>
      <c r="N5" s="26"/>
      <c r="O5" s="13" t="s">
        <v>65</v>
      </c>
      <c r="P5" s="13" t="s">
        <v>239</v>
      </c>
    </row>
    <row r="6" spans="2:16" ht="16" customHeight="1" x14ac:dyDescent="0.2">
      <c r="B6" s="26" t="s">
        <v>364</v>
      </c>
      <c r="C6" s="13"/>
      <c r="D6" s="13" t="s">
        <v>76</v>
      </c>
      <c r="E6" s="13"/>
      <c r="F6" s="13" t="s">
        <v>77</v>
      </c>
      <c r="H6" s="26" t="s">
        <v>360</v>
      </c>
      <c r="J6" s="13" t="s">
        <v>265</v>
      </c>
      <c r="K6" s="13"/>
      <c r="L6" s="13" t="s">
        <v>266</v>
      </c>
      <c r="N6" s="26" t="s">
        <v>360</v>
      </c>
      <c r="P6" s="13" t="s">
        <v>97</v>
      </c>
    </row>
    <row r="7" spans="2:16" x14ac:dyDescent="0.2">
      <c r="B7" s="26"/>
      <c r="C7" s="13"/>
      <c r="D7" s="13" t="s">
        <v>26</v>
      </c>
      <c r="E7" s="13"/>
      <c r="F7" s="13" t="s">
        <v>78</v>
      </c>
      <c r="H7" s="26"/>
      <c r="J7" s="13" t="s">
        <v>213</v>
      </c>
      <c r="K7" s="13"/>
      <c r="L7" s="13" t="s">
        <v>78</v>
      </c>
      <c r="N7" s="26"/>
      <c r="P7" s="13" t="s">
        <v>241</v>
      </c>
    </row>
    <row r="8" spans="2:16" ht="16" customHeight="1" x14ac:dyDescent="0.2">
      <c r="B8" s="26" t="s">
        <v>365</v>
      </c>
      <c r="C8" s="13"/>
      <c r="D8" s="13" t="s">
        <v>80</v>
      </c>
      <c r="E8" s="13"/>
      <c r="F8" s="13" t="s">
        <v>81</v>
      </c>
      <c r="H8" s="26" t="s">
        <v>361</v>
      </c>
      <c r="J8" s="13" t="s">
        <v>268</v>
      </c>
      <c r="K8" s="13"/>
      <c r="L8" s="13" t="s">
        <v>269</v>
      </c>
      <c r="N8" s="26" t="s">
        <v>361</v>
      </c>
      <c r="P8" s="13" t="s">
        <v>273</v>
      </c>
    </row>
    <row r="9" spans="2:16" x14ac:dyDescent="0.2">
      <c r="B9" s="27"/>
      <c r="C9" s="16"/>
      <c r="D9" s="16" t="s">
        <v>85</v>
      </c>
      <c r="E9" s="16"/>
      <c r="F9" s="16" t="s">
        <v>86</v>
      </c>
      <c r="H9" s="26"/>
      <c r="J9" s="13" t="s">
        <v>163</v>
      </c>
      <c r="K9" s="13"/>
      <c r="L9" s="13" t="s">
        <v>274</v>
      </c>
      <c r="N9" s="26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26" t="s">
        <v>362</v>
      </c>
      <c r="I10" s="13"/>
      <c r="J10" s="13" t="s">
        <v>276</v>
      </c>
      <c r="K10" s="13"/>
      <c r="L10" s="13" t="s">
        <v>277</v>
      </c>
      <c r="N10" s="26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26"/>
      <c r="I11" s="13"/>
      <c r="J11" s="13" t="s">
        <v>251</v>
      </c>
      <c r="K11" s="13"/>
      <c r="L11" s="13" t="s">
        <v>20</v>
      </c>
      <c r="N11" s="26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26" t="s">
        <v>363</v>
      </c>
      <c r="I12" s="13"/>
      <c r="J12" s="13" t="s">
        <v>281</v>
      </c>
      <c r="K12" s="13"/>
      <c r="L12" s="13" t="s">
        <v>112</v>
      </c>
      <c r="N12" s="26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27"/>
      <c r="I13" s="16"/>
      <c r="J13" s="16" t="s">
        <v>210</v>
      </c>
      <c r="K13" s="16"/>
      <c r="L13" s="16" t="s">
        <v>286</v>
      </c>
      <c r="N13" s="27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15" t="s">
        <v>345</v>
      </c>
      <c r="C20" s="28" t="s">
        <v>346</v>
      </c>
      <c r="D20" s="28"/>
      <c r="E20" s="28" t="s">
        <v>386</v>
      </c>
      <c r="F20" s="28"/>
    </row>
    <row r="21" spans="2:16" ht="16" customHeight="1" x14ac:dyDescent="0.2">
      <c r="B21" s="26" t="s">
        <v>334</v>
      </c>
      <c r="C21" s="13" t="s">
        <v>6</v>
      </c>
      <c r="D21" s="13" t="s">
        <v>67</v>
      </c>
      <c r="E21" s="13" t="s">
        <v>41</v>
      </c>
      <c r="F21" s="13" t="s">
        <v>388</v>
      </c>
    </row>
    <row r="22" spans="2:16" x14ac:dyDescent="0.2">
      <c r="B22" s="26"/>
      <c r="C22" s="13" t="s">
        <v>16</v>
      </c>
      <c r="D22" s="13" t="s">
        <v>30</v>
      </c>
      <c r="E22" s="13" t="s">
        <v>383</v>
      </c>
      <c r="F22" s="13" t="s">
        <v>88</v>
      </c>
    </row>
    <row r="23" spans="2:16" ht="16" customHeight="1" x14ac:dyDescent="0.2">
      <c r="B23" s="26" t="s">
        <v>364</v>
      </c>
      <c r="C23" s="13"/>
      <c r="D23" s="13" t="s">
        <v>76</v>
      </c>
      <c r="E23" s="13"/>
      <c r="F23" s="13" t="s">
        <v>384</v>
      </c>
    </row>
    <row r="24" spans="2:16" x14ac:dyDescent="0.2">
      <c r="B24" s="26"/>
      <c r="C24" s="13"/>
      <c r="D24" s="13" t="s">
        <v>26</v>
      </c>
      <c r="E24" s="13"/>
      <c r="F24" s="13" t="s">
        <v>16</v>
      </c>
    </row>
    <row r="25" spans="2:16" ht="16" customHeight="1" x14ac:dyDescent="0.2">
      <c r="B25" s="26" t="s">
        <v>365</v>
      </c>
      <c r="C25" s="13"/>
      <c r="D25" s="13" t="s">
        <v>80</v>
      </c>
      <c r="E25" s="13"/>
      <c r="F25" s="13" t="s">
        <v>385</v>
      </c>
    </row>
    <row r="26" spans="2:16" x14ac:dyDescent="0.2">
      <c r="B26" s="27"/>
      <c r="C26" s="16"/>
      <c r="D26" s="16" t="s">
        <v>85</v>
      </c>
      <c r="E26" s="16"/>
      <c r="F26" s="16" t="s">
        <v>99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387</v>
      </c>
      <c r="F30" s="16" t="s">
        <v>387</v>
      </c>
    </row>
    <row r="32" spans="2:16" ht="16" customHeight="1" x14ac:dyDescent="0.2"/>
    <row r="34" spans="2:7" ht="16" customHeight="1" x14ac:dyDescent="0.2"/>
    <row r="44" spans="2:7" x14ac:dyDescent="0.2">
      <c r="B44" s="31" t="s">
        <v>324</v>
      </c>
      <c r="C44" s="31" t="s">
        <v>325</v>
      </c>
      <c r="D44" s="31"/>
      <c r="E44" s="31"/>
      <c r="F44" s="31" t="s">
        <v>326</v>
      </c>
      <c r="G44" s="31" t="s">
        <v>327</v>
      </c>
    </row>
    <row r="45" spans="2:7" x14ac:dyDescent="0.2">
      <c r="B45" s="30"/>
      <c r="C45" s="19" t="s">
        <v>328</v>
      </c>
      <c r="D45" s="19" t="s">
        <v>329</v>
      </c>
      <c r="E45" s="19" t="s">
        <v>330</v>
      </c>
      <c r="F45" s="32"/>
      <c r="G45" s="32"/>
    </row>
    <row r="46" spans="2:7" x14ac:dyDescent="0.2">
      <c r="B46" s="29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30" t="str">
        <f>"0.000"</f>
        <v>0.000</v>
      </c>
      <c r="G46" s="30" t="str">
        <f>"2702.000"</f>
        <v>2702.000</v>
      </c>
    </row>
    <row r="47" spans="2:7" x14ac:dyDescent="0.2">
      <c r="B47" s="29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30"/>
      <c r="G47" s="30"/>
    </row>
    <row r="48" spans="2:7" x14ac:dyDescent="0.2">
      <c r="B48" s="29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30" t="str">
        <f>"0.000"</f>
        <v>0.000</v>
      </c>
      <c r="G48" s="30" t="str">
        <f>"8.000"</f>
        <v>8.000</v>
      </c>
    </row>
    <row r="49" spans="2:7" x14ac:dyDescent="0.2">
      <c r="B49" s="29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30"/>
      <c r="G49" s="30"/>
    </row>
    <row r="50" spans="2:7" x14ac:dyDescent="0.2">
      <c r="B50" s="29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30" t="str">
        <f>"-0.048"</f>
        <v>-0.048</v>
      </c>
      <c r="G50" s="30" t="str">
        <f>"0.991"</f>
        <v>0.991</v>
      </c>
    </row>
    <row r="51" spans="2:7" x14ac:dyDescent="0.2">
      <c r="B51" s="29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30"/>
      <c r="G51" s="30"/>
    </row>
    <row r="52" spans="2:7" x14ac:dyDescent="0.2">
      <c r="B52" s="29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30" t="str">
        <f>"-3.000"</f>
        <v>-3.000</v>
      </c>
      <c r="G52" s="30" t="str">
        <f>"14.000"</f>
        <v>14.000</v>
      </c>
    </row>
    <row r="53" spans="2:7" x14ac:dyDescent="0.2">
      <c r="B53" s="29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30"/>
      <c r="G53" s="30"/>
    </row>
    <row r="54" spans="2:7" x14ac:dyDescent="0.2">
      <c r="B54" s="29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30" t="str">
        <f>"0.000"</f>
        <v>0.000</v>
      </c>
      <c r="G54" s="30" t="str">
        <f>"6.977"</f>
        <v>6.977</v>
      </c>
    </row>
    <row r="55" spans="2:7" x14ac:dyDescent="0.2">
      <c r="B55" s="29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30"/>
      <c r="G55" s="30"/>
    </row>
    <row r="56" spans="2:7" x14ac:dyDescent="0.2">
      <c r="B56" s="29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30" t="str">
        <f>"0.000"</f>
        <v>0.000</v>
      </c>
      <c r="G56" s="30" t="str">
        <f>"0.891"</f>
        <v>0.891</v>
      </c>
    </row>
    <row r="57" spans="2:7" x14ac:dyDescent="0.2">
      <c r="B57" s="29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30"/>
      <c r="G57" s="30"/>
    </row>
    <row r="58" spans="2:7" x14ac:dyDescent="0.2">
      <c r="B58" s="29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30" t="str">
        <f>"0.000"</f>
        <v>0.000</v>
      </c>
      <c r="G58" s="30" t="str">
        <f>"7.912"</f>
        <v>7.912</v>
      </c>
    </row>
    <row r="59" spans="2:7" x14ac:dyDescent="0.2">
      <c r="B59" s="29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30"/>
      <c r="G59" s="30"/>
    </row>
    <row r="60" spans="2:7" x14ac:dyDescent="0.2">
      <c r="B60" s="29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30" t="str">
        <f>"-0.090"</f>
        <v>-0.090</v>
      </c>
      <c r="G60" s="30" t="str">
        <f>"0.911"</f>
        <v>0.911</v>
      </c>
    </row>
    <row r="61" spans="2:7" x14ac:dyDescent="0.2">
      <c r="B61" s="33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32"/>
      <c r="G61" s="32"/>
    </row>
  </sheetData>
  <mergeCells count="51">
    <mergeCell ref="B58:B59"/>
    <mergeCell ref="F58:F59"/>
    <mergeCell ref="G58:G59"/>
    <mergeCell ref="B60:B61"/>
    <mergeCell ref="F60:F61"/>
    <mergeCell ref="G60:G61"/>
    <mergeCell ref="B54:B55"/>
    <mergeCell ref="F54:F55"/>
    <mergeCell ref="G54:G55"/>
    <mergeCell ref="B56:B57"/>
    <mergeCell ref="F56:F57"/>
    <mergeCell ref="G56:G57"/>
    <mergeCell ref="E20:F20"/>
    <mergeCell ref="B50:B51"/>
    <mergeCell ref="F50:F51"/>
    <mergeCell ref="G50:G51"/>
    <mergeCell ref="B52:B53"/>
    <mergeCell ref="F52:F53"/>
    <mergeCell ref="G52:G53"/>
    <mergeCell ref="H8:H9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B21:B22"/>
    <mergeCell ref="B23:B24"/>
    <mergeCell ref="B25:B26"/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B56" sqref="B56:L67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36" t="s">
        <v>179</v>
      </c>
      <c r="C2" s="3"/>
      <c r="D2" s="38" t="s">
        <v>0</v>
      </c>
      <c r="E2" s="38"/>
      <c r="F2" s="38" t="s">
        <v>1</v>
      </c>
      <c r="G2" s="38"/>
      <c r="H2" s="8" t="s">
        <v>124</v>
      </c>
      <c r="I2" s="8" t="s">
        <v>125</v>
      </c>
      <c r="J2" s="8" t="s">
        <v>126</v>
      </c>
      <c r="K2" s="38" t="s">
        <v>2</v>
      </c>
      <c r="L2" s="38"/>
    </row>
    <row r="3" spans="2:12" hidden="1" x14ac:dyDescent="0.2">
      <c r="B3" s="37"/>
      <c r="C3" s="34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37"/>
      <c r="C4" s="35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37"/>
      <c r="C5" s="34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37"/>
      <c r="C6" s="35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37"/>
      <c r="C7" s="34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37"/>
      <c r="C8" s="35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37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36" t="s">
        <v>180</v>
      </c>
      <c r="C11" s="3"/>
      <c r="D11" s="38" t="s">
        <v>3</v>
      </c>
      <c r="E11" s="38"/>
      <c r="F11" s="38" t="s">
        <v>4</v>
      </c>
      <c r="G11" s="38"/>
      <c r="H11" s="8" t="s">
        <v>124</v>
      </c>
      <c r="I11" s="8" t="s">
        <v>125</v>
      </c>
      <c r="J11" s="8" t="s">
        <v>126</v>
      </c>
      <c r="K11" s="38" t="s">
        <v>127</v>
      </c>
      <c r="L11" s="38"/>
    </row>
    <row r="12" spans="2:12" hidden="1" x14ac:dyDescent="0.2">
      <c r="B12" s="37"/>
      <c r="C12" s="34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37"/>
      <c r="C13" s="35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37"/>
      <c r="C14" s="34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37"/>
      <c r="C15" s="35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37"/>
      <c r="C16" s="34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37"/>
      <c r="C17" s="35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37"/>
      <c r="C18" s="34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37"/>
      <c r="C19" s="35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37"/>
      <c r="C20" s="34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37"/>
      <c r="C21" s="35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37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36" t="s">
        <v>177</v>
      </c>
      <c r="C25" s="3"/>
      <c r="D25" s="38" t="s">
        <v>0</v>
      </c>
      <c r="E25" s="38"/>
      <c r="F25" s="38" t="s">
        <v>1</v>
      </c>
      <c r="G25" s="38"/>
      <c r="H25" s="8" t="s">
        <v>124</v>
      </c>
      <c r="I25" s="8" t="s">
        <v>125</v>
      </c>
      <c r="J25" s="8" t="s">
        <v>126</v>
      </c>
      <c r="K25" s="38" t="s">
        <v>2</v>
      </c>
      <c r="L25" s="38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37"/>
      <c r="C26" s="34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37"/>
      <c r="C27" s="35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37"/>
      <c r="C28" s="34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37"/>
      <c r="C29" s="35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37"/>
      <c r="C30" s="34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37"/>
      <c r="C31" s="35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37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36" t="s">
        <v>178</v>
      </c>
      <c r="C34" s="3"/>
      <c r="D34" s="38" t="s">
        <v>3</v>
      </c>
      <c r="E34" s="38"/>
      <c r="F34" s="38" t="s">
        <v>4</v>
      </c>
      <c r="G34" s="38"/>
      <c r="H34" s="8" t="s">
        <v>124</v>
      </c>
      <c r="I34" s="8" t="s">
        <v>125</v>
      </c>
      <c r="J34" s="8" t="s">
        <v>126</v>
      </c>
      <c r="K34" s="38" t="s">
        <v>127</v>
      </c>
      <c r="L34" s="38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37"/>
      <c r="C35" s="34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37"/>
      <c r="C36" s="35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37"/>
      <c r="C37" s="34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37"/>
      <c r="C38" s="35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37"/>
      <c r="C39" s="34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37"/>
      <c r="C40" s="35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37"/>
      <c r="C41" s="34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37"/>
      <c r="C42" s="35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37"/>
      <c r="C43" s="34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37"/>
      <c r="C44" s="35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37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36" t="s">
        <v>130</v>
      </c>
      <c r="C47" s="3"/>
      <c r="D47" s="38" t="s">
        <v>0</v>
      </c>
      <c r="E47" s="38"/>
      <c r="F47" s="38" t="s">
        <v>1</v>
      </c>
      <c r="G47" s="38"/>
      <c r="H47" s="24" t="s">
        <v>124</v>
      </c>
      <c r="I47" s="24" t="s">
        <v>125</v>
      </c>
      <c r="J47" s="24" t="s">
        <v>126</v>
      </c>
      <c r="K47" s="39" t="s">
        <v>2</v>
      </c>
      <c r="L47" s="39"/>
    </row>
    <row r="48" spans="2:24" x14ac:dyDescent="0.2">
      <c r="B48" s="37"/>
      <c r="C48" s="34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37"/>
      <c r="C49" s="35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37"/>
      <c r="C50" s="34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37"/>
      <c r="C51" s="35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37"/>
      <c r="C52" s="34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37"/>
      <c r="C53" s="35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37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36" t="s">
        <v>131</v>
      </c>
      <c r="C56" s="3"/>
      <c r="D56" s="38" t="s">
        <v>3</v>
      </c>
      <c r="E56" s="38"/>
      <c r="F56" s="38" t="s">
        <v>4</v>
      </c>
      <c r="G56" s="38"/>
      <c r="H56" s="8" t="s">
        <v>124</v>
      </c>
      <c r="I56" s="8" t="s">
        <v>125</v>
      </c>
      <c r="J56" s="8" t="s">
        <v>126</v>
      </c>
      <c r="K56" s="38" t="s">
        <v>127</v>
      </c>
      <c r="L56" s="38"/>
    </row>
    <row r="57" spans="2:12" x14ac:dyDescent="0.2">
      <c r="B57" s="37"/>
      <c r="C57" s="34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37"/>
      <c r="C58" s="35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37"/>
      <c r="C59" s="34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37"/>
      <c r="C60" s="35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37"/>
      <c r="C61" s="34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37"/>
      <c r="C62" s="35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37"/>
      <c r="C63" s="34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37"/>
      <c r="C64" s="35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37"/>
      <c r="C65" s="34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37"/>
      <c r="C66" s="35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37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36" t="s">
        <v>132</v>
      </c>
      <c r="C69" s="3"/>
      <c r="D69" s="38" t="s">
        <v>0</v>
      </c>
      <c r="E69" s="38"/>
      <c r="F69" s="38" t="s">
        <v>1</v>
      </c>
      <c r="G69" s="38"/>
      <c r="H69" s="8" t="s">
        <v>124</v>
      </c>
      <c r="I69" s="8" t="s">
        <v>125</v>
      </c>
      <c r="J69" s="8" t="s">
        <v>126</v>
      </c>
      <c r="K69" s="38" t="s">
        <v>2</v>
      </c>
      <c r="L69" s="38"/>
    </row>
    <row r="70" spans="2:12" hidden="1" x14ac:dyDescent="0.2">
      <c r="B70" s="37"/>
      <c r="C70" s="34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37"/>
      <c r="C71" s="35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37"/>
      <c r="C72" s="34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37"/>
      <c r="C73" s="35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37"/>
      <c r="C74" s="34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37"/>
      <c r="C75" s="35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37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36" t="s">
        <v>133</v>
      </c>
      <c r="C78" s="3"/>
      <c r="D78" s="38" t="s">
        <v>3</v>
      </c>
      <c r="E78" s="38"/>
      <c r="F78" s="38" t="s">
        <v>4</v>
      </c>
      <c r="G78" s="38"/>
      <c r="H78" s="8" t="s">
        <v>124</v>
      </c>
      <c r="I78" s="8" t="s">
        <v>125</v>
      </c>
      <c r="J78" s="8" t="s">
        <v>126</v>
      </c>
      <c r="K78" s="38" t="s">
        <v>127</v>
      </c>
      <c r="L78" s="38"/>
    </row>
    <row r="79" spans="2:12" hidden="1" x14ac:dyDescent="0.2">
      <c r="B79" s="37"/>
      <c r="C79" s="34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37"/>
      <c r="C80" s="35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37"/>
      <c r="C81" s="34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37"/>
      <c r="C82" s="35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37"/>
      <c r="C83" s="34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37"/>
      <c r="C84" s="35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37"/>
      <c r="C85" s="34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37"/>
      <c r="C86" s="35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37"/>
      <c r="C87" s="34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37"/>
      <c r="C88" s="35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37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  <mergeCell ref="B2:B9"/>
    <mergeCell ref="B11:B22"/>
    <mergeCell ref="B47:B54"/>
    <mergeCell ref="B56:B67"/>
    <mergeCell ref="B69:B76"/>
    <mergeCell ref="B25:B32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D56:E56"/>
    <mergeCell ref="F56:G56"/>
    <mergeCell ref="K56:L56"/>
    <mergeCell ref="D47:E47"/>
    <mergeCell ref="F47:G47"/>
    <mergeCell ref="K47:L47"/>
    <mergeCell ref="D2:E2"/>
    <mergeCell ref="F2:G2"/>
    <mergeCell ref="K2:L2"/>
    <mergeCell ref="D11:E11"/>
    <mergeCell ref="F11:G11"/>
    <mergeCell ref="K11:L11"/>
    <mergeCell ref="D25:E25"/>
    <mergeCell ref="F25:G25"/>
    <mergeCell ref="K25:L25"/>
    <mergeCell ref="C26:C27"/>
    <mergeCell ref="C28:C29"/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Results</vt:lpstr>
      <vt:lpstr>Theory</vt:lpstr>
      <vt:lpstr>Literature Review</vt:lpstr>
      <vt:lpstr>interaction plot (20260608)</vt:lpstr>
      <vt:lpstr>table in paper</vt:lpstr>
      <vt:lpstr>Sheet1</vt:lpstr>
      <vt:lpstr>Sheet3</vt:lpstr>
      <vt:lpstr>interaction 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2026-06-24T15:38:48Z</dcterms:modified>
</cp:coreProperties>
</file>