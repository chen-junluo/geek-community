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B7D7603F-66CC-F340-8186-FE3CEF0DF830}" xr6:coauthVersionLast="47" xr6:coauthVersionMax="47" xr10:uidLastSave="{00000000-0000-0000-0000-000000000000}"/>
  <bookViews>
    <workbookView xWindow="20" yWindow="500" windowWidth="38400" windowHeight="19420" activeTab="1" xr2:uid="{30F402B7-E6D8-E34B-8063-713AC97DE139}"/>
  </bookViews>
  <sheets>
    <sheet name="mechanism" sheetId="12" r:id="rId1"/>
    <sheet name="mechanism test table" sheetId="14" r:id="rId2"/>
    <sheet name="robustness check" sheetId="13" r:id="rId3"/>
    <sheet name="Theory" sheetId="8" r:id="rId4"/>
    <sheet name="Result" sheetId="10" r:id="rId5"/>
    <sheet name="Results (with table)" sheetId="7" r:id="rId6"/>
    <sheet name="Literature Review" sheetId="9" r:id="rId7"/>
    <sheet name="interaction plot (20260608)" sheetId="6" r:id="rId8"/>
    <sheet name="table in paper" sheetId="3" r:id="rId9"/>
    <sheet name="Sheet1" sheetId="1" r:id="rId10"/>
    <sheet name="Sheet3" sheetId="5" r:id="rId11"/>
    <sheet name="interaction plot" sheetId="2" r:id="rId12"/>
  </sheets>
  <definedNames>
    <definedName name="_Hlk194498603" localSheetId="6">'Literature Review'!$A$15</definedName>
    <definedName name="_Ref194135344" localSheetId="5">'Results (with table)'!$N$26</definedName>
    <definedName name="_Ref210225085" localSheetId="5">'Results (with table)'!$D$60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6" l="1"/>
  <c r="A30" i="6"/>
  <c r="A29" i="6"/>
  <c r="B29" i="6" s="1"/>
  <c r="B30" i="6"/>
  <c r="A19" i="6"/>
  <c r="B19" i="6" s="1"/>
  <c r="A18" i="6"/>
  <c r="B18" i="6"/>
  <c r="B47" i="6"/>
  <c r="C47" i="6"/>
  <c r="A49" i="6"/>
  <c r="C49" i="6" s="1"/>
  <c r="A48" i="6"/>
  <c r="C48" i="6" s="1"/>
  <c r="A45" i="6"/>
  <c r="B45" i="6" s="1"/>
  <c r="A46" i="6"/>
  <c r="B46" i="6" s="1"/>
  <c r="C42" i="6"/>
  <c r="A41" i="6"/>
  <c r="C41" i="6" s="1"/>
  <c r="A40" i="6"/>
  <c r="C40" i="6" s="1"/>
  <c r="B39" i="6"/>
  <c r="A38" i="6"/>
  <c r="B38" i="6" s="1"/>
  <c r="A37" i="6"/>
  <c r="B37" i="6" s="1"/>
  <c r="B20" i="6"/>
  <c r="I10" i="6"/>
  <c r="H10" i="6"/>
  <c r="I8" i="6"/>
  <c r="H8" i="6"/>
  <c r="C11" i="5"/>
  <c r="J14" i="5"/>
  <c r="J15" i="5"/>
  <c r="J13" i="5"/>
  <c r="I12" i="5"/>
  <c r="I13" i="5"/>
  <c r="I11" i="5"/>
  <c r="C12" i="5"/>
  <c r="C13" i="5"/>
  <c r="D14" i="5"/>
  <c r="D15" i="5"/>
  <c r="D13" i="5"/>
  <c r="B37" i="2"/>
  <c r="C40" i="2"/>
  <c r="B19" i="2"/>
  <c r="E53" i="3"/>
  <c r="D53" i="3"/>
  <c r="C53" i="3"/>
  <c r="G52" i="3"/>
  <c r="F52" i="3"/>
  <c r="E52" i="3"/>
  <c r="D52" i="3"/>
  <c r="C52" i="3"/>
  <c r="E51" i="3"/>
  <c r="D51" i="3"/>
  <c r="C51" i="3"/>
  <c r="G50" i="3"/>
  <c r="F50" i="3"/>
  <c r="E50" i="3"/>
  <c r="D50" i="3"/>
  <c r="C50" i="3"/>
  <c r="E61" i="3"/>
  <c r="D61" i="3"/>
  <c r="C61" i="3"/>
  <c r="G60" i="3"/>
  <c r="F60" i="3"/>
  <c r="E60" i="3"/>
  <c r="D60" i="3"/>
  <c r="C60" i="3"/>
  <c r="E59" i="3"/>
  <c r="D59" i="3"/>
  <c r="C59" i="3"/>
  <c r="G58" i="3"/>
  <c r="F58" i="3"/>
  <c r="E58" i="3"/>
  <c r="D58" i="3"/>
  <c r="C58" i="3"/>
  <c r="E57" i="3"/>
  <c r="D57" i="3"/>
  <c r="C57" i="3"/>
  <c r="G56" i="3"/>
  <c r="F56" i="3"/>
  <c r="E56" i="3"/>
  <c r="D56" i="3"/>
  <c r="C56" i="3"/>
  <c r="E55" i="3"/>
  <c r="D55" i="3"/>
  <c r="C55" i="3"/>
  <c r="G54" i="3"/>
  <c r="F54" i="3"/>
  <c r="E54" i="3"/>
  <c r="D54" i="3"/>
  <c r="C54" i="3"/>
  <c r="E49" i="3"/>
  <c r="D49" i="3"/>
  <c r="C49" i="3"/>
  <c r="G48" i="3"/>
  <c r="F48" i="3"/>
  <c r="E48" i="3"/>
  <c r="D48" i="3"/>
  <c r="C48" i="3"/>
  <c r="E47" i="3"/>
  <c r="D47" i="3"/>
  <c r="C47" i="3"/>
  <c r="G46" i="3"/>
  <c r="F46" i="3"/>
  <c r="E46" i="3"/>
  <c r="D46" i="3"/>
  <c r="C4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<sst xmlns="http://schemas.openxmlformats.org/spreadsheetml/2006/main" count="1477" uniqueCount="661">
  <si>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</si>
  <si>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</si>
  <si>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</si>
  <si>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</si>
  <si>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</si>
  <si>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</si>
  <si>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</si>
  <si>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</si>
  <si>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</si>
  <si>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</si>
  <si>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</si>
  <si>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</si>
  <si>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</si>
  <si>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</si>
  <si>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</si>
  <si>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</si>
  <si>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</si>
  <si>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</si>
  <si>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</si>
  <si>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</si>
  <si>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</si>
  <si>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</si>
  <si>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</si>
  <si>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</si>
  <si>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</si>
  <si>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</si>
  <si>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</si>
  <si>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</si>
  <si>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</si>
  <si>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</si>
  <si>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</si>
  <si>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</si>
  <si>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</si>
  <si>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</si>
  <si>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</si>
  <si>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</si>
  <si>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</si>
  <si>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</si>
  <si>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</si>
  <si>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</si>
  <si>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</si>
  <si>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</si>
  <si>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</si>
  <si>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</si>
  <si>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</si>
  <si>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</si>
  <si>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</si>
  <si>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</si>
  <si>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</si>
  <si>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</si>
  <si>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</si>
  <si>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</si>
  <si>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</si>
  <si>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</si>
  <si>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</si>
  <si>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</si>
  <si>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</si>
  <si>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</si>
  <si>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</si>
  <si>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</si>
  <si>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</si>
  <si>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</si>
  <si>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</si>
  <si>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</si>
  <si>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</si>
  <si>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</si>
  <si>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</si>
  <si>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</si>
  <si>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</si>
  <si>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</si>
  <si>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</si>
  <si>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</si>
  <si>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</si>
  <si>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</si>
  <si>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</si>
  <si>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</si>
  <si>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</si>
  <si>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</si>
  <si>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</si>
  <si>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</si>
  <si>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</si>
  <si>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</si>
  <si>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</si>
  <si>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</si>
  <si>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</si>
  <si>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</si>
  <si>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</si>
  <si>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</si>
  <si>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</si>
  <si>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</si>
  <si>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</si>
  <si>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</si>
  <si>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</si>
  <si>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</si>
  <si>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</si>
  <si>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</si>
  <si>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</si>
  <si>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</si>
  <si>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</si>
  <si>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</si>
  <si>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</si>
  <si>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</si>
  <si>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</si>
  <si>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</si>
  <si>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</si>
  <si>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</si>
  <si>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</si>
  <si>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</si>
  <si>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</si>
  <si>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</si>
  <si>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</si>
  <si>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</si>
  <si>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</si>
  <si>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</si>
  <si>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</si>
  <si>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</si>
  <si>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</si>
  <si>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</si>
  <si>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</si>
  <si>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</si>
  <si>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</si>
  <si>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</si>
  <si>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</si>
  <si>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</si>
  <si>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</si>
  <si>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</si>
  <si>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</si>
  <si>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</si>
  <si>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</si>
  <si>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</si>
  <si>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</si>
  <si>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</si>
  <si>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</si>
  <si>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</si>
  <si>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</si>
  <si>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</si>
  <si>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</si>
  <si>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</si>
  <si>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</si>
  <si>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</si>
  <si>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</si>
  <si>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</si>
  <si>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</si>
  <si>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</si>
  <si>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</si>
  <si>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</si>
  <si>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</si>
  <si>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</si>
  <si>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</si>
  <si>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</si>
  <si>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</si>
  <si>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</si>
  <si>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</si>
  <si>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</si>
  <si>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</si>
  <si>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</si>
  <si>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</si>
  <si>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</si>
  <si>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</si>
  <si>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</si>
  <si>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</si>
  <si>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</si>
  <si>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</si>
  <si>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</si>
  <si>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</si>
  <si>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</si>
  <si>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</si>
  <si>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</si>
  <si>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</si>
  <si>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</si>
  <si>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</si>
  <si>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</si>
  <si>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</si>
  <si>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</si>
  <si>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</si>
  <si>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</si>
  <si>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</si>
  <si>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</si>
  <si>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</si>
  <si>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</si>
  <si>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</si>
  <si>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</si>
  <si>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</si>
  <si>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</si>
  <si>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</si>
  <si>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</si>
  <si>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</si>
  <si>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</si>
  <si>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</si>
  <si>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</si>
  <si>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</si>
  <si>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</si>
  <si>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</si>
  <si>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</si>
  <si>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</si>
  <si>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</si>
  <si>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</si>
  <si>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</si>
  <si>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</si>
  <si>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</si>
  <si>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</si>
  <si>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</si>
  <si>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</si>
  <si>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</si>
  <si>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</si>
  <si>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</si>
  <si>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</si>
  <si>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</si>
  <si>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</si>
  <si>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</si>
  <si>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</si>
  <si>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</si>
  <si>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</si>
  <si>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</si>
  <si>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</si>
  <si>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</si>
  <si>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</si>
  <si>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</si>
  <si>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</si>
  <si>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</si>
  <si>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</si>
  <si>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</si>
  <si>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</si>
  <si>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</si>
  <si>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</si>
  <si>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</si>
  <si>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</si>
  <si>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</si>
  <si>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</si>
  <si>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</si>
  <si>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</si>
  <si>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</si>
  <si>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</si>
  <si>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</si>
  <si>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</si>
  <si>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</si>
  <si>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</si>
  <si>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</si>
  <si>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</si>
  <si>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</si>
  <si>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</si>
  <si>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</si>
  <si>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</si>
  <si>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</si>
  <si>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</si>
  <si>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</si>
  <si>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</si>
  <si>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</si>
  <si>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</si>
  <si>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</si>
  <si>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</si>
  <si>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</si>
  <si>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</si>
  <si>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</si>
  <si>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</si>
  <si>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</si>
  <si>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</si>
  <si>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</si>
  <si>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</si>
  <si>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</si>
  <si>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</si>
  <si>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</si>
  <si>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</si>
  <si>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</si>
  <si>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</si>
  <si>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</si>
  <si>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</si>
  <si>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</si>
  <si>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</si>
  <si>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</si>
  <si>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</si>
  <si>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</si>
  <si>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</si>
  <si>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</si>
  <si>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</si>
  <si>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</si>
  <si>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</si>
  <si>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</si>
  <si>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</si>
  <si>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</si>
  <si>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</si>
  <si>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</si>
  <si>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</si>
  <si>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</si>
  <si>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</si>
  <si>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</si>
  <si>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</si>
  <si>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</si>
  <si>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</si>
  <si>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</si>
  <si>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</si>
  <si>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</si>
  <si>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</si>
  <si>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</si>
  <si>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</si>
  <si>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</si>
  <si>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</si>
  <si>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</si>
  <si>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</si>
  <si>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</si>
  <si>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</si>
  <si>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</si>
  <si>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</si>
  <si>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</si>
  <si>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</si>
  <si>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</si>
  <si>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</si>
  <si>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</si>
  <si>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</si>
  <si>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</si>
  <si>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</si>
  <si>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</si>
  <si>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</si>
  <si>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</si>
  <si>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</si>
  <si>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</si>
  <si>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</si>
  <si>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</si>
  <si>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</si>
  <si>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</si>
  <si>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</si>
  <si>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</si>
  <si>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</si>
  <si>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</si>
  <si>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</si>
  <si>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</si>
  <si>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</si>
  <si>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</si>
  <si>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</si>
  <si>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</si>
  <si>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</si>
  <si>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</si>
  <si>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</si>
  <si>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</si>
  <si>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</si>
  <si>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</si>
  <si>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</si>
  <si>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</si>
  <si>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</si>
  <si>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</si>
  <si>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</si>
  <si>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</si>
  <si>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</si>
  <si>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</si>
  <si>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</si>
  <si>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</si>
  <si>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</si>
  <si>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</si>
  <si>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</si>
  <si>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</si>
  <si>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</si>
  <si>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</si>
  <si>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</si>
  <si>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</si>
  <si>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</si>
  <si>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</si>
  <si>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</si>
  <si>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</si>
  <si>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</si>
  <si>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</si>
  <si>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</si>
  <si>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</si>
  <si>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</si>
  <si>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</si>
  <si>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</si>
  <si>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</si>
  <si>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</si>
  <si>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</si>
  <si>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</si>
  <si>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</si>
  <si>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</si>
  <si>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</si>
  <si>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</si>
  <si>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</si>
  <si>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</si>
  <si>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</si>
  <si>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# Answer after 7 days</t>
  </si>
  <si>
    <t>1/Next Answer Time</t>
  </si>
  <si>
    <t>DV:  first human answer quality</t>
  </si>
  <si>
    <t>DV: quality first human answer</t>
  </si>
  <si>
    <t>Reputation</t>
  </si>
  <si>
    <t>Reputation:SimWithOpus1Ans</t>
  </si>
  <si>
    <t>Reputation:log_textLengthCN1Ans</t>
  </si>
  <si>
    <t>(0.007)</t>
  </si>
  <si>
    <t>-0.013</t>
  </si>
  <si>
    <t>0.350 ***</t>
  </si>
  <si>
    <t>2,685</t>
  </si>
  <si>
    <t>-0.120 .</t>
  </si>
  <si>
    <t>DV</t>
  </si>
  <si>
    <t>Contribution (Fast)</t>
  </si>
  <si>
    <t>Answer Quality (Slow)</t>
  </si>
  <si>
    <t>AI Label</t>
  </si>
  <si>
    <r>
      <t xml:space="preserve">H1: </t>
    </r>
    <r>
      <rPr>
        <b/>
        <sz val="16"/>
        <color rgb="FF000000"/>
        <rFont val="Calibri Light"/>
        <family val="2"/>
      </rPr>
      <t>↑</t>
    </r>
  </si>
  <si>
    <r>
      <t xml:space="preserve">H3: </t>
    </r>
    <r>
      <rPr>
        <b/>
        <sz val="16"/>
        <color rgb="FF000000"/>
        <rFont val="Calibri Light"/>
        <family val="2"/>
      </rPr>
      <t>↓</t>
    </r>
  </si>
  <si>
    <t>AI Answer Length</t>
  </si>
  <si>
    <t>—</t>
  </si>
  <si>
    <t>AI Answer Quality</t>
  </si>
  <si>
    <r>
      <t xml:space="preserve">H4: </t>
    </r>
    <r>
      <rPr>
        <b/>
        <sz val="16"/>
        <color rgb="FF000000"/>
        <rFont val="Calibri Light"/>
        <family val="2"/>
      </rPr>
      <t>reverses H3</t>
    </r>
  </si>
  <si>
    <r>
      <t xml:space="preserve">H2: </t>
    </r>
    <r>
      <rPr>
        <b/>
        <sz val="16"/>
        <color rgb="FF000000"/>
        <rFont val="Calibri Light"/>
        <family val="2"/>
      </rPr>
      <t>reverses H1</t>
    </r>
  </si>
  <si>
    <t>Log(answer number in 7 days)</t>
  </si>
  <si>
    <t>First answer quality (LLM)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</si>
  <si>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</si>
  <si>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</si>
  <si>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</si>
  <si>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</si>
  <si>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</si>
  <si>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</si>
  <si>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</si>
  <si>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r>
      <t>DV: log of the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</si>
  <si>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DV: the number of human answers provided within 7 days</t>
  </si>
  <si>
    <t>-0.042 ***</t>
  </si>
  <si>
    <t>-0.121 ***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</si>
  <si>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</si>
  <si>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</si>
  <si>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</si>
  <si>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</si>
  <si>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</si>
  <si>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</si>
  <si>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</si>
  <si>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</si>
  <si>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</si>
  <si>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</si>
  <si>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DV: log of number of human answers provided within the full observation period</t>
  </si>
  <si>
    <t>DV: log of number of human answers provided within the first N days after the question is posted</t>
  </si>
  <si>
    <r>
      <t>DV: log of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</si>
  <si>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N=3</t>
  </si>
  <si>
    <t>N=7</t>
  </si>
  <si>
    <t>N=14</t>
  </si>
  <si>
    <t>-0.069 ***</t>
  </si>
  <si>
    <t>-0.047 ***</t>
  </si>
  <si>
    <t>-0.050 ***</t>
  </si>
  <si>
    <t>-0.038 *</t>
  </si>
  <si>
    <t>-0.038 **</t>
  </si>
  <si>
    <t>(6)</t>
  </si>
  <si>
    <t>(7)</t>
  </si>
  <si>
    <t>Robustness checks: alternative time frame used in analyses</t>
  </si>
  <si>
    <r>
      <t xml:space="preserve">DV: </t>
    </r>
    <r>
      <rPr>
        <i/>
        <sz val="10"/>
        <color theme="1"/>
        <rFont val="Times New Roman"/>
        <family val="1"/>
      </rPr>
      <t>answerNum</t>
    </r>
    <r>
      <rPr>
        <i/>
        <vertAlign val="subscript"/>
        <sz val="10"/>
        <color theme="1"/>
        <rFont val="Times New Roman"/>
        <family val="1"/>
      </rPr>
      <t>i</t>
    </r>
  </si>
  <si>
    <r>
      <t xml:space="preserve">DV: </t>
    </r>
    <r>
      <rPr>
        <i/>
        <sz val="10"/>
        <color rgb="FF000000"/>
        <rFont val="Times New Roman"/>
        <family val="1"/>
      </rPr>
      <t>netlikeNum</t>
    </r>
    <r>
      <rPr>
        <i/>
        <vertAlign val="subscript"/>
        <sz val="10"/>
        <color rgb="FF000000"/>
        <rFont val="Times New Roman"/>
        <family val="1"/>
      </rPr>
      <t>ij</t>
    </r>
  </si>
  <si>
    <t>post-AI deployment control group indicator</t>
  </si>
  <si>
    <t>controlling for a cubic polynomial of question/answer age</t>
  </si>
  <si>
    <r>
      <t>DV: quality</t>
    </r>
    <r>
      <rPr>
        <i/>
        <vertAlign val="subscript"/>
        <sz val="10"/>
        <color rgb="FF000000"/>
        <rFont val="Times New Roman"/>
        <family val="1"/>
      </rPr>
      <t>ij</t>
    </r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</si>
  <si>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</si>
  <si>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</si>
  <si>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</si>
  <si>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</si>
  <si>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</si>
  <si>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</si>
  <si>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</si>
  <si>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</si>
  <si>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</si>
  <si>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</si>
  <si>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</si>
  <si>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</si>
  <si>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</si>
  <si>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</si>
  <si>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>(0.026)</t>
  </si>
  <si>
    <t>(0.013)</t>
  </si>
  <si>
    <t>(0.031)</t>
  </si>
  <si>
    <t xml:space="preserve">the logarithm of the number of questioner’s subsequent activities after receiving an answer in </t>
  </si>
  <si>
    <r>
      <t xml:space="preserve">DV: the logarithm of the number of comments the questioner posted in response to answers received by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(Commenti)</t>
    </r>
  </si>
  <si>
    <r>
      <t xml:space="preserve">DV: the logarithm of the cumulative viewership count for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(Viewi)</t>
    </r>
  </si>
  <si>
    <t>other DV</t>
  </si>
  <si>
    <t>main results</t>
  </si>
  <si>
    <t>robustness</t>
  </si>
  <si>
    <t>additional analysis</t>
  </si>
  <si>
    <t>Other DV</t>
  </si>
  <si>
    <t>verify weak competitor</t>
  </si>
  <si>
    <t>verify "Fast Signal → Fast Outcome"</t>
  </si>
  <si>
    <t>AI label increase human contribution
AI length decrease human contribution</t>
  </si>
  <si>
    <t>AI lael decrease first human quality
AI quality increase first human quality</t>
  </si>
  <si>
    <t>AI label 加速first human的到来
AI length 减速first human的到来
AI quality 没有影响</t>
  </si>
  <si>
    <t>first human quality increase on what?</t>
  </si>
  <si>
    <t xml:space="preserve">different differientiation direction? </t>
  </si>
  <si>
    <t>AI quality increase Similarity(fisrt human, AI) in AI group</t>
  </si>
  <si>
    <t>question difficulty as moderator</t>
  </si>
  <si>
    <t>other parties: questioner &amp; viewer</t>
  </si>
  <si>
    <t>no impact on questioners and viewers</t>
  </si>
  <si>
    <t>AI lebel 更多地 increase high repuration expert contribution</t>
  </si>
  <si>
    <t>quality increase, how about recognition?</t>
  </si>
  <si>
    <t>netlike decrease, due to elevated expectation</t>
  </si>
  <si>
    <r>
      <t>Contribution = System 1 decision; Quality = System 2 outcome.</t>
    </r>
    <r>
      <rPr>
        <sz val="12"/>
        <color rgb="FF000000"/>
        <rFont val="Aptos Narrow"/>
        <family val="2"/>
        <scheme val="minor"/>
      </rPr>
      <t xml:space="preserve"> Whether to participate is a binary, low-load call that System 1 resolves in seconds. Producing a quality answer requires sustained reading, reasoning, and drafting—a protracted System 2 process.</t>
    </r>
  </si>
  <si>
    <t>另外我们能不能做个model free画一下两种问题随着时间平均回答数目和qulaity的变化</t>
  </si>
  <si>
    <t>大模型打分的quality能不能和viwer likes 算个correlation，没有AI只有人，看看face validity</t>
  </si>
  <si>
    <t>AI回答长度比人长，但是质量跟高端人差不多，我们看了对质量影响，有没有必要看看对长度影响？</t>
  </si>
  <si>
    <t>Reputation analysis 可不可以直接做哪些人的质量和长度和AI差不多</t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</si>
  <si>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</si>
  <si>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</si>
  <si>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</si>
  <si>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</si>
  <si>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</si>
  <si>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</si>
  <si>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</si>
  <si>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</si>
  <si>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Borwankar et al., 2023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</si>
  <si>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</si>
  <si>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</si>
  <si>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</si>
  <si>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</si>
  <si>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</si>
  <si>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</si>
  <si>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</si>
  <si>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Burtch et al., 2023</t>
  </si>
  <si>
    <t>GenAI introduction</t>
  </si>
  <si>
    <t>Questioner</t>
  </si>
  <si>
    <t>topic-week</t>
  </si>
  <si>
    <t>Reduce # of questions</t>
  </si>
  <si>
    <t>del Rio-Chanona et al., 2023</t>
  </si>
  <si>
    <t>Quinn &amp; Gutt, 2023</t>
  </si>
  <si>
    <t>Stack Exchange</t>
  </si>
  <si>
    <t>Sanatizadeh et al., 2023</t>
  </si>
  <si>
    <t>Questioner, Answerer, Viewer</t>
  </si>
  <si>
    <t>post-day</t>
  </si>
  <si>
    <t>Reduce # of views; increase # of likes</t>
  </si>
  <si>
    <t>Shan &amp; Qiu, 2023</t>
  </si>
  <si>
    <t>Answerer</t>
  </si>
  <si>
    <t>user-day</t>
  </si>
  <si>
    <t>Su et al., 2023</t>
  </si>
  <si>
    <t>Quora</t>
  </si>
  <si>
    <t>Internal GenAI</t>
  </si>
  <si>
    <t>question-week</t>
  </si>
  <si>
    <t>Xue et al., 2023</t>
  </si>
  <si>
    <t>topic-day</t>
  </si>
  <si>
    <t>Li &amp; Kim, 2024</t>
  </si>
  <si>
    <t>Reduce # of answers</t>
  </si>
  <si>
    <t>Reduce # of likes</t>
  </si>
  <si>
    <t>Wang &amp; Zheng, 2024</t>
  </si>
  <si>
    <t>Increase # of questions</t>
  </si>
  <si>
    <t>Increase # of views</t>
  </si>
  <si>
    <t>Increase # of answers; make answers shorter and easier to read</t>
  </si>
  <si>
    <t>Make answers shorter, more negative and harder to read</t>
  </si>
  <si>
    <t>Reduce # of questions; make questions more difficult to read</t>
  </si>
  <si>
    <t>Reduce # of answers; make answers longer, more difficult to read</t>
  </si>
  <si>
    <t>Reduce # of questions; make questions longer, more difficult to read</t>
  </si>
  <si>
    <t>Increase # of answers; make answers longer and similar to AI answers</t>
  </si>
  <si>
    <t>Increase # of answers; increase acceptance ratio of answers</t>
  </si>
  <si>
    <t>Reduce # of questions; make questions higher quality (simpler questions disappear)</t>
  </si>
  <si>
    <t>Increase question quality</t>
  </si>
  <si>
    <t>- Length is a fast signal (routine assessment) 
- "Intensity matching" converts physical volume into perceived barrier.
- When perceived cost exceeds perceived benefit, System 1 flips</t>
  </si>
  <si>
    <t>- AI Label is a fast signal, zero-cost "routine assessment". 
- Cause negative emotion (new competitor -&gt; threat, low-quality AI at the time as "availability heuristic" -&gt; 不屑)
- "exaggerated emotional coherence" -&gt; weak competitor
- what's more? "Overconfidence"</t>
  </si>
  <si>
    <t>0.304 **</t>
  </si>
  <si>
    <t>-0.058 ***</t>
  </si>
  <si>
    <t>0.029</t>
  </si>
  <si>
    <t>(0.149)</t>
  </si>
  <si>
    <t>(0.025)</t>
  </si>
  <si>
    <t>-0.060</t>
  </si>
  <si>
    <t>(0.064)</t>
  </si>
  <si>
    <t>(0.088)</t>
  </si>
  <si>
    <t>difficult questions</t>
  </si>
  <si>
    <t>easy questions</t>
  </si>
  <si>
    <t>2,373</t>
  </si>
  <si>
    <t>1,230</t>
  </si>
  <si>
    <t>expert first answer</t>
  </si>
  <si>
    <t>rookie first answer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</si>
  <si>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</si>
  <si>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</si>
  <si>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</si>
  <si>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</si>
  <si>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Test 5 — Effort-proxy outcome test</t>
  </si>
  <si>
    <t>Identity-stakes / expertise moderation</t>
  </si>
  <si>
    <t>Post hoc</t>
  </si>
  <si>
    <t>mechnism</t>
  </si>
  <si>
    <t>verify overconfidence</t>
  </si>
  <si>
    <t>AI label 更多地 decrease high repuration expert quality</t>
  </si>
  <si>
    <t>AI quality 更多地 increase  high repuration expert quality  (out of surprise)</t>
  </si>
  <si>
    <t xml:space="preserve">textual </t>
  </si>
  <si>
    <t>AI label increase human contribution</t>
  </si>
  <si>
    <t>AI length decrease human contribution</t>
  </si>
  <si>
    <t>AI lael decrease first human quality</t>
  </si>
  <si>
    <t>AI quality increase first human quality</t>
  </si>
  <si>
    <t>mechanism</t>
  </si>
  <si>
    <t>weak compatitor</t>
  </si>
  <si>
    <t>textual analysis on comment</t>
  </si>
  <si>
    <t>benchmark</t>
  </si>
  <si>
    <t>include AI and more results</t>
  </si>
  <si>
    <t>- Quality is a slow signal—inaccessible without deliberate reading. 
- High quality triggers "surprise", forcing System 2 to override.
- what's more, professional identity threat is "sufficiently important" to activate System 2
- benchmark</t>
  </si>
  <si>
    <t>- AI label through system 1 output negative affect towards AI. Affect persists as continuous background "mood".
- "Law of least effort" lowers the effort.</t>
  </si>
  <si>
    <t>H1</t>
  </si>
  <si>
    <t>H2</t>
  </si>
  <si>
    <t>H3</t>
  </si>
  <si>
    <t>H4</t>
  </si>
  <si>
    <t>theory</t>
  </si>
  <si>
    <t>weak competitor</t>
  </si>
  <si>
    <t>question complexity subgroup analysis</t>
  </si>
  <si>
    <t>textual analysis</t>
  </si>
  <si>
    <t>supprot or not</t>
  </si>
  <si>
    <t>Y</t>
  </si>
  <si>
    <t>length -&gt; comprehensiveness</t>
  </si>
  <si>
    <t>comprehensiveness -&gt; stronger competition</t>
  </si>
  <si>
    <t>x</t>
  </si>
  <si>
    <t>weak competitor -&gt; least effort</t>
  </si>
  <si>
    <t>difficult and/or rookie subgroup</t>
  </si>
  <si>
    <t>top25%/top20% subgroup exptertise analysis</t>
  </si>
  <si>
    <t>accepted before expert vs. no accepted before</t>
  </si>
  <si>
    <t>high tag number question (more audience) vs. one tag question</t>
  </si>
  <si>
    <t>-</t>
  </si>
  <si>
    <t>no "AI" mentioned in comments/answers</t>
  </si>
  <si>
    <t>=======================================================</t>
  </si>
  <si>
    <t xml:space="preserve">                              Median: low  Median: high</t>
  </si>
  <si>
    <t>-------------------------------------------------------</t>
  </si>
  <si>
    <t xml:space="preserve">AI                              0.084        -0.239 *  </t>
  </si>
  <si>
    <t xml:space="preserve">                               (0.128)       (0.108)   </t>
  </si>
  <si>
    <t xml:space="preserve">AI:log_textLengthCNAI_fillna   -0.042 .       0.002    </t>
  </si>
  <si>
    <t xml:space="preserve">                               (0.022)       (0.017)   </t>
  </si>
  <si>
    <t>AI:AISimWithOpus47_fillna       0.254 ***     0.401 ***</t>
  </si>
  <si>
    <t xml:space="preserve">                               (0.075)       (0.055)   </t>
  </si>
  <si>
    <t xml:space="preserve">Num. obs.                     601          1334        </t>
  </si>
  <si>
    <t xml:space="preserve">F statistic (full model)        1.509         1.834    </t>
  </si>
  <si>
    <t xml:space="preserve">F (full model): p-value         0.000         0.000    </t>
  </si>
  <si>
    <t xml:space="preserve">F statistic (proj model)        3.587         4.285    </t>
  </si>
  <si>
    <t xml:space="preserve">F (proj model): p-value         0.000         0.000    </t>
  </si>
  <si>
    <t>*** p &lt; 0.001; ** p &lt; 0.01; * p &lt; 0.05; . p &lt; 0.1</t>
  </si>
  <si>
    <t>=========================================================</t>
  </si>
  <si>
    <t xml:space="preserve">                              Low: zero    High: &gt; median</t>
  </si>
  <si>
    <t>---------------------------------------------------------</t>
  </si>
  <si>
    <t xml:space="preserve">AI                             -0.071        -0.167      </t>
  </si>
  <si>
    <t xml:space="preserve">                               (0.114)       (0.147)     </t>
  </si>
  <si>
    <t xml:space="preserve">AI:log_textLengthCNAI_fillna   -0.019        -0.013      </t>
  </si>
  <si>
    <t xml:space="preserve">                               (0.019)       (0.024)     </t>
  </si>
  <si>
    <t xml:space="preserve">AI:AISimWithOpus47_fillna       0.321 ***     0.407 ***  </t>
  </si>
  <si>
    <t xml:space="preserve">                               (0.079)       (0.061)     </t>
  </si>
  <si>
    <t xml:space="preserve">Num. obs.                     657          1008          </t>
  </si>
  <si>
    <t xml:space="preserve">F statistic (full model)        1.135         1.747      </t>
  </si>
  <si>
    <t xml:space="preserve">F (full model): p-value         0.146         0.000      </t>
  </si>
  <si>
    <t xml:space="preserve">F statistic (proj model)        2.568         4.534      </t>
  </si>
  <si>
    <t xml:space="preserve">F (proj model): p-value         0.000         0.000      </t>
  </si>
  <si>
    <t>high AI quality vs. low AI quality</t>
  </si>
  <si>
    <t xml:space="preserve">                              Low: &lt; mean  High: &gt; mean</t>
  </si>
  <si>
    <t xml:space="preserve">AI                              -0.185 .     -0.222 .  </t>
  </si>
  <si>
    <t xml:space="preserve">                                (0.105)      (0.123)   </t>
  </si>
  <si>
    <t xml:space="preserve">AI:log_textLengthCNAI_fillna     0.006       -0.024    </t>
  </si>
  <si>
    <t xml:space="preserve">                                (0.018)      (0.017)   </t>
  </si>
  <si>
    <t>AI:AISimWithOpus47_fillna        0.253 **     0.580 ***</t>
  </si>
  <si>
    <t xml:space="preserve">                                (0.085)      (0.106)   </t>
  </si>
  <si>
    <t xml:space="preserve">Num. obs.                     1495         1587        </t>
  </si>
  <si>
    <t xml:space="preserve">F statistic (full model)         1.756        1.762    </t>
  </si>
  <si>
    <t xml:space="preserve">F (full model): p-value          0.000        0.000    </t>
  </si>
  <si>
    <t xml:space="preserve">F statistic (proj model)         4.832        3.740    </t>
  </si>
  <si>
    <t xml:space="preserve">F (proj model): p-value          0.000        0.000    </t>
  </si>
  <si>
    <t>high AI quality → high motivation to chase benchmark</t>
  </si>
  <si>
    <t>accepted before → high motivation to outperform benchmark, to excel, to be accepted</t>
  </si>
  <si>
    <t>-0.071</t>
  </si>
  <si>
    <t>(0.114)</t>
  </si>
  <si>
    <t>-0.019</t>
  </si>
  <si>
    <t>0.321 ***</t>
  </si>
  <si>
    <t>0.407 ***</t>
  </si>
  <si>
    <t>-0.167</t>
  </si>
  <si>
    <t>(0.147)</t>
  </si>
  <si>
    <t>657</t>
  </si>
  <si>
    <t>1,008</t>
  </si>
  <si>
    <t>-0.185</t>
  </si>
  <si>
    <t>-0.222</t>
  </si>
  <si>
    <t>(0.123)</t>
  </si>
  <si>
    <t>-0.024</t>
  </si>
  <si>
    <t>0.580 ***</t>
  </si>
  <si>
    <t>0.253 ***</t>
  </si>
  <si>
    <t>(0.106)</t>
  </si>
  <si>
    <t>1,495</t>
  </si>
  <si>
    <t>1,587</t>
  </si>
  <si>
    <t>high quality AI</t>
  </si>
  <si>
    <t>low quality AI</t>
  </si>
  <si>
    <t>mean subgroup expertise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</si>
</sst>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6"/>
      <color rgb="FF000000"/>
      <name val="Calibri Light"/>
      <family val="2"/>
    </font>
    <font>
      <b/>
      <sz val="16"/>
      <color rgb="FF000000"/>
      <name val="Calibri Light"/>
      <family val="2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rgb="FFFFC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6"/>
      <color theme="9"/>
      <name val="Aptos Narrow"/>
      <family val="2"/>
      <scheme val="minor"/>
    </font>
    <font>
      <sz val="12"/>
      <color theme="1"/>
      <name val="Courier New"/>
      <family val="1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9" fillId="0" borderId="7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49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 readingOrder="1"/>
    </xf>
    <xf numFmtId="49" fontId="0" fillId="0" borderId="0" xfId="0" applyNumberForma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4" fillId="4" borderId="0" xfId="0" applyFont="1" applyFill="1" applyAlignment="1">
      <alignment horizontal="left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readingOrder="1"/>
    </xf>
    <xf numFmtId="0" fontId="0" fillId="5" borderId="0" xfId="0" applyFill="1"/>
    <xf numFmtId="0" fontId="0" fillId="5" borderId="0" xfId="0" applyFill="1" applyAlignment="1">
      <alignment wrapText="1"/>
    </xf>
    <xf numFmtId="0" fontId="14" fillId="5" borderId="0" xfId="0" applyFont="1" applyFill="1" applyAlignment="1">
      <alignment horizontal="left" vertical="center"/>
    </xf>
    <xf numFmtId="49" fontId="4" fillId="5" borderId="6" xfId="0" applyNumberFormat="1" applyFont="1" applyFill="1" applyBorder="1" applyAlignment="1">
      <alignment vertical="top"/>
    </xf>
    <xf numFmtId="49" fontId="6" fillId="5" borderId="6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vertical="center"/>
    </xf>
    <xf numFmtId="49" fontId="6" fillId="5" borderId="5" xfId="0" applyNumberFormat="1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top"/>
    </xf>
    <xf numFmtId="0" fontId="15" fillId="5" borderId="0" xfId="0" applyFont="1" applyFill="1"/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3" fontId="5" fillId="5" borderId="5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vertical="center"/>
    </xf>
    <xf numFmtId="0" fontId="9" fillId="6" borderId="0" xfId="0" applyFont="1" applyFill="1" applyAlignment="1">
      <alignment horizontal="left" vertical="center" wrapText="1" readingOrder="1"/>
    </xf>
    <xf numFmtId="0" fontId="0" fillId="6" borderId="0" xfId="0" applyFill="1"/>
    <xf numFmtId="49" fontId="6" fillId="6" borderId="6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49" fontId="6" fillId="6" borderId="0" xfId="0" applyNumberFormat="1" applyFont="1" applyFill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49" fontId="0" fillId="4" borderId="0" xfId="0" applyNumberFormat="1" applyFill="1"/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2" fillId="0" borderId="1" xfId="0" applyFont="1" applyBorder="1" applyAlignment="1">
      <alignment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2" fillId="0" borderId="1" xfId="0" applyFont="1" applyBorder="1"/>
    <xf numFmtId="0" fontId="10" fillId="0" borderId="1" xfId="0" applyFont="1" applyBorder="1" applyAlignment="1">
      <alignment horizontal="left" vertical="center" wrapText="1" readingOrder="1"/>
    </xf>
    <xf numFmtId="49" fontId="9" fillId="0" borderId="9" xfId="0" applyNumberFormat="1" applyFont="1" applyBorder="1" applyAlignment="1">
      <alignment horizontal="left" vertical="center" wrapText="1" readingOrder="1"/>
    </xf>
    <xf numFmtId="0" fontId="24" fillId="0" borderId="0" xfId="0" applyFont="1"/>
    <xf numFmtId="0" fontId="0" fillId="0" borderId="1" xfId="0" applyBorder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justify" vertical="center"/>
    </xf>
    <xf numFmtId="0" fontId="26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5" xfId="0" applyFont="1" applyBorder="1" applyAlignment="1">
      <alignment horizontal="justify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49" fontId="0" fillId="6" borderId="0" xfId="0" applyNumberFormat="1" applyFill="1" applyAlignment="1">
      <alignment wrapText="1"/>
    </xf>
    <xf numFmtId="49" fontId="4" fillId="5" borderId="0" xfId="0" applyNumberFormat="1" applyFont="1" applyFill="1" applyAlignment="1">
      <alignment horizontal="center" vertical="center"/>
    </xf>
    <xf numFmtId="49" fontId="4" fillId="6" borderId="6" xfId="0" applyNumberFormat="1" applyFont="1" applyFill="1" applyBorder="1" applyAlignment="1">
      <alignment vertical="top"/>
    </xf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vertical="center"/>
    </xf>
    <xf numFmtId="49" fontId="6" fillId="6" borderId="5" xfId="0" applyNumberFormat="1" applyFont="1" applyFill="1" applyBorder="1" applyAlignment="1">
      <alignment vertical="center"/>
    </xf>
    <xf numFmtId="0" fontId="28" fillId="0" borderId="1" xfId="0" applyFont="1" applyBorder="1" applyAlignment="1">
      <alignment wrapText="1"/>
    </xf>
    <xf numFmtId="0" fontId="28" fillId="0" borderId="0" xfId="0" applyFont="1"/>
    <xf numFmtId="0" fontId="9" fillId="0" borderId="8" xfId="0" applyFont="1" applyBorder="1" applyAlignment="1">
      <alignment horizontal="left" vertical="center" wrapText="1" readingOrder="1"/>
    </xf>
    <xf numFmtId="0" fontId="9" fillId="0" borderId="9" xfId="0" applyFont="1" applyBorder="1" applyAlignment="1">
      <alignment horizontal="left" vertical="center" wrapText="1" readingOrder="1"/>
    </xf>
    <xf numFmtId="0" fontId="20" fillId="0" borderId="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5" fillId="5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readingOrder="1"/>
    </xf>
    <xf numFmtId="0" fontId="17" fillId="6" borderId="6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7" fillId="6" borderId="5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/>
    </xf>
    <xf numFmtId="0" fontId="12" fillId="5" borderId="5" xfId="0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5" borderId="5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6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6" borderId="0" xfId="0" applyFill="1" applyAlignment="1"/>
    <xf numFmtId="0" fontId="0" fillId="5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753997970763"/>
          <c:y val="3.8477365008348238E-2"/>
          <c:w val="0.84032668048786519"/>
          <c:h val="0.8457458237634837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(20260608)'!$B$37:$B$41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F-4BD2-BC6E-5B9A0D3E65F9}"/>
            </c:ext>
          </c:extLst>
        </c:ser>
        <c:ser>
          <c:idx val="0"/>
          <c:order val="1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(20260608)'!$C$37:$C$42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FF-4BD2-BC6E-5B9A0D3E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882476950483"/>
          <c:y val="4.3161431167558426E-2"/>
          <c:w val="0.83437263290876029"/>
          <c:h val="0.82343050885998825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8-7349-A6C5-09BADE77279A}"/>
              </c:ext>
            </c:extLst>
          </c:dPt>
          <c:xVal>
            <c:numRef>
              <c:f>'interaction plot (20260608)'!$A$47:$A$49</c:f>
              <c:numCache>
                <c:formatCode>General</c:formatCode>
                <c:ptCount val="3"/>
                <c:pt idx="0">
                  <c:v>0</c:v>
                </c:pt>
                <c:pt idx="1">
                  <c:v>0.25836000000000003</c:v>
                </c:pt>
                <c:pt idx="2">
                  <c:v>0.63216220000000001</c:v>
                </c:pt>
              </c:numCache>
            </c:numRef>
          </c:xVal>
          <c:yVal>
            <c:numRef>
              <c:f>'interaction plot (20260608)'!$C$47:$C$49</c:f>
              <c:numCache>
                <c:formatCode>General</c:formatCode>
                <c:ptCount val="3"/>
                <c:pt idx="0">
                  <c:v>0</c:v>
                </c:pt>
                <c:pt idx="1">
                  <c:v>0.12762984000000002</c:v>
                </c:pt>
                <c:pt idx="2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69D-9EE5-06BBBABFA6CF}"/>
            </c:ext>
          </c:extLst>
        </c:ser>
        <c:ser>
          <c:idx val="2"/>
          <c:order val="1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42-4160-9AAE-00CF9DC0F4D6}"/>
              </c:ext>
            </c:extLst>
          </c:dPt>
          <c:xVal>
            <c:numRef>
              <c:f>'interaction plot (20260608)'!$A$45:$A$47</c:f>
              <c:numCache>
                <c:formatCode>General</c:formatCode>
                <c:ptCount val="3"/>
                <c:pt idx="0">
                  <c:v>0.70744960000000001</c:v>
                </c:pt>
                <c:pt idx="1">
                  <c:v>0.40333040000000009</c:v>
                </c:pt>
                <c:pt idx="2">
                  <c:v>0</c:v>
                </c:pt>
              </c:numCache>
            </c:numRef>
          </c:xVal>
          <c:yVal>
            <c:numRef>
              <c:f>'interaction plot (20260608)'!$B$45:$B$47</c:f>
              <c:numCache>
                <c:formatCode>General</c:formatCode>
                <c:ptCount val="3"/>
                <c:pt idx="0">
                  <c:v>0.272368096</c:v>
                </c:pt>
                <c:pt idx="1">
                  <c:v>0.15528220400000003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34-469D-9EE5-06BBBABF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Qaulity</a:t>
                </a:r>
              </a:p>
            </c:rich>
          </c:tx>
          <c:layout>
            <c:manualLayout>
              <c:xMode val="edge"/>
              <c:yMode val="edge"/>
              <c:x val="0.4853730688685402"/>
              <c:y val="0.93385641980717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4"/>
        <c:crossBetween val="midCat"/>
      </c:valAx>
      <c:valAx>
        <c:axId val="12735654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0939960737396"/>
          <c:y val="0.13557972568238005"/>
          <c:w val="0.25556999125109359"/>
          <c:h val="0.1339295088113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6-4741-8A37-290A02E3CD1F}"/>
              </c:ext>
            </c:extLst>
          </c:dPt>
          <c:xVal>
            <c:numRef>
              <c:f>'interaction plot (20260608)'!$A$18:$A$22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(20260608)'!$B$18:$B$22</c:f>
              <c:numCache>
                <c:formatCode>General</c:formatCode>
                <c:ptCount val="5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6-4741-8A37-290A02E3CD1F}"/>
            </c:ext>
          </c:extLst>
        </c:ser>
        <c:ser>
          <c:idx val="1"/>
          <c:order val="1"/>
          <c:tx>
            <c:strRef>
              <c:f>'interaction plot (20260608)'!$C$17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AD4C-7048-B0B0-097CACF67255}"/>
              </c:ext>
            </c:extLst>
          </c:dPt>
          <c:xVal>
            <c:numRef>
              <c:f>'interaction plot (20260608)'!$A$21:$A$22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B6-4741-8A37-290A02E3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AF-DA4D-8724-9A418F2CB7D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8-FB48-8221-6BEDD331795A}"/>
              </c:ext>
            </c:extLst>
          </c:dPt>
          <c:xVal>
            <c:numRef>
              <c:f>'interaction plot (20260608)'!$A$28:$A$30</c:f>
              <c:numCache>
                <c:formatCode>General</c:formatCode>
                <c:ptCount val="3"/>
                <c:pt idx="0">
                  <c:v>0</c:v>
                </c:pt>
                <c:pt idx="1">
                  <c:v>0.40333040000000009</c:v>
                </c:pt>
                <c:pt idx="2">
                  <c:v>0.70744960000000001</c:v>
                </c:pt>
              </c:numCache>
            </c:numRef>
          </c:xVal>
          <c:yVal>
            <c:numRef>
              <c:f>'interaction plot (20260608)'!$B$28:$B$30</c:f>
              <c:numCache>
                <c:formatCode>General</c:formatCode>
                <c:ptCount val="3"/>
                <c:pt idx="0">
                  <c:v>-0.12</c:v>
                </c:pt>
                <c:pt idx="1">
                  <c:v>2.1165640000000013E-2</c:v>
                </c:pt>
                <c:pt idx="2">
                  <c:v>0.12760736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7-467B-996E-07C785599A61}"/>
            </c:ext>
          </c:extLst>
        </c:ser>
        <c:ser>
          <c:idx val="1"/>
          <c:order val="1"/>
          <c:tx>
            <c:strRef>
              <c:f>'interaction plot (20260608)'!$C$25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DFC-4439-9F03-18134A406378}"/>
              </c:ext>
            </c:extLst>
          </c:dPt>
          <c:xVal>
            <c:numRef>
              <c:f>'interaction plot (20260608)'!$A$26:$A$27</c:f>
              <c:numCache>
                <c:formatCode>General</c:formatCode>
                <c:ptCount val="2"/>
                <c:pt idx="0">
                  <c:v>0.8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7-467B-996E-07C78559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9735930589"/>
          <c:y val="0.60974883273512892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83153862523941269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Sheet3!$C$11:$C$15</c:f>
              <c:numCache>
                <c:formatCode>General</c:formatCode>
                <c:ptCount val="5"/>
                <c:pt idx="0">
                  <c:v>0.57800933300000001</c:v>
                </c:pt>
                <c:pt idx="1">
                  <c:v>0.66912814300000001</c:v>
                </c:pt>
                <c:pt idx="2">
                  <c:v>1.089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Sheet3!$D$11:$D$15</c:f>
              <c:numCache>
                <c:formatCode>General</c:formatCode>
                <c:ptCount val="5"/>
                <c:pt idx="2">
                  <c:v>0.34200000000000003</c:v>
                </c:pt>
                <c:pt idx="3">
                  <c:v>0.30830624000000001</c:v>
                </c:pt>
                <c:pt idx="4">
                  <c:v>0.26550518400000001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638646520536"/>
          <c:y val="0.58457290494938141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57568282912004431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Sheet3!$I$11:$I$15</c:f>
              <c:numCache>
                <c:formatCode>General</c:formatCode>
                <c:ptCount val="5"/>
                <c:pt idx="0">
                  <c:v>5.6384604220000005</c:v>
                </c:pt>
                <c:pt idx="1">
                  <c:v>5.8473669620000006</c:v>
                </c:pt>
                <c:pt idx="2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5-4AAA-9DDD-314EB344758D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Sheet3!$J$11:$J$15</c:f>
              <c:numCache>
                <c:formatCode>General</c:formatCode>
                <c:ptCount val="5"/>
                <c:pt idx="2">
                  <c:v>5.4610000000000003</c:v>
                </c:pt>
                <c:pt idx="3">
                  <c:v>5.0650983200000006</c:v>
                </c:pt>
                <c:pt idx="4">
                  <c:v>4.5621859120000003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5-4AAA-9DDD-314EB344758D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75-4AAA-9DDD-314EB344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37118386517473"/>
          <c:y val="0.35243000874890645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102</xdr:row>
      <xdr:rowOff>0</xdr:rowOff>
    </xdr:from>
    <xdr:to>
      <xdr:col>10</xdr:col>
      <xdr:colOff>88900</xdr:colOff>
      <xdr:row>102</xdr:row>
      <xdr:rowOff>177800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8AA38731-6B98-D316-7D19-E478C0C6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10820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101</xdr:row>
      <xdr:rowOff>0</xdr:rowOff>
    </xdr:from>
    <xdr:to>
      <xdr:col>11</xdr:col>
      <xdr:colOff>152400</xdr:colOff>
      <xdr:row>101</xdr:row>
      <xdr:rowOff>165100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6F967735-B6DA-8C2D-8489-66D2AB2A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08026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101</xdr:row>
      <xdr:rowOff>0</xdr:rowOff>
    </xdr:from>
    <xdr:to>
      <xdr:col>12</xdr:col>
      <xdr:colOff>279400</xdr:colOff>
      <xdr:row>101</xdr:row>
      <xdr:rowOff>165100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C320F611-D4C3-D5B1-576D-AD226F99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08026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139700</xdr:colOff>
      <xdr:row>102</xdr:row>
      <xdr:rowOff>165100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7BD0F9AF-A9E3-E1AC-21CC-1C13E3D40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10820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76200</xdr:colOff>
      <xdr:row>101</xdr:row>
      <xdr:rowOff>165100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1B6428B2-AD1D-D7E2-C3AE-F4B51B77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08026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279400</xdr:colOff>
      <xdr:row>102</xdr:row>
      <xdr:rowOff>165100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CD7D4A9A-CAB4-1732-EF96-11269777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1082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34</xdr:row>
      <xdr:rowOff>0</xdr:rowOff>
    </xdr:from>
    <xdr:to>
      <xdr:col>9</xdr:col>
      <xdr:colOff>435428</xdr:colOff>
      <xdr:row>50</xdr:row>
      <xdr:rowOff>7257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4B32-3949-481C-8BEC-52FABF10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192314</xdr:rowOff>
    </xdr:from>
    <xdr:to>
      <xdr:col>17</xdr:col>
      <xdr:colOff>544286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B1A89-671C-4F64-B779-D8C23FBC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A5B8-39A6-439C-8F07-672ACD31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65B9C-2DFD-422E-9BED-D062444E6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1767" y="5020583"/>
          <a:ext cx="12532575" cy="4286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71C9965A-E9D7-4B7E-A4A0-5BDF820043E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EC3CF81E-DF6A-4240-86DF-E4376CDA0FDC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69A3A-E1FE-4D7E-B528-C9071AB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913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16322-D8E2-455A-8E7E-287501AC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53988-E13B-4E5C-9DAB-9F7A6566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321235</xdr:colOff>
      <xdr:row>31</xdr:row>
      <xdr:rowOff>141942</xdr:rowOff>
    </xdr:from>
    <xdr:to>
      <xdr:col>10</xdr:col>
      <xdr:colOff>122144</xdr:colOff>
      <xdr:row>49</xdr:row>
      <xdr:rowOff>141942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612588</xdr:colOff>
      <xdr:row>30</xdr:row>
      <xdr:rowOff>147171</xdr:rowOff>
    </xdr:from>
    <xdr:to>
      <xdr:col>17</xdr:col>
      <xdr:colOff>546847</xdr:colOff>
      <xdr:row>48</xdr:row>
      <xdr:rowOff>147171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14</xdr:row>
      <xdr:rowOff>89647</xdr:rowOff>
    </xdr:from>
    <xdr:to>
      <xdr:col>9</xdr:col>
      <xdr:colOff>652555</xdr:colOff>
      <xdr:row>30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24</xdr:row>
      <xdr:rowOff>143783</xdr:rowOff>
    </xdr:from>
    <xdr:to>
      <xdr:col>37</xdr:col>
      <xdr:colOff>193542</xdr:colOff>
      <xdr:row>45</xdr:row>
      <xdr:rowOff>163286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6367" y="4933497"/>
          <a:ext cx="12498104" cy="42105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786A-464A-1C43-8F84-5024A3103C53}">
  <dimension ref="B1:F12"/>
  <sheetViews>
    <sheetView zoomScale="130" zoomScaleNormal="130" workbookViewId="0">
      <selection activeCell="D6" sqref="D6"/>
    </sheetView>
  </sheetViews>
  <sheetFormatPr baseColWidth="10" defaultRowHeight="16" x14ac:dyDescent="0.2"/>
  <cols>
    <col min="3" max="3" width="38" bestFit="1" customWidth="1"/>
    <col min="4" max="4" width="55.33203125" customWidth="1"/>
    <col min="5" max="5" width="12.33203125" bestFit="1" customWidth="1"/>
    <col min="6" max="6" width="35" bestFit="1" customWidth="1"/>
  </cols>
  <sheetData>
    <row r="1" spans="2:6" x14ac:dyDescent="0.2">
      <c r="C1" t="s">
        <v>580</v>
      </c>
      <c r="D1" t="s">
        <v>569</v>
      </c>
      <c r="E1" t="s">
        <v>584</v>
      </c>
    </row>
    <row r="2" spans="2:6" x14ac:dyDescent="0.2">
      <c r="B2" t="s">
        <v>576</v>
      </c>
      <c r="C2" t="s">
        <v>581</v>
      </c>
      <c r="D2" t="s">
        <v>582</v>
      </c>
      <c r="E2" t="s">
        <v>585</v>
      </c>
    </row>
    <row r="3" spans="2:6" x14ac:dyDescent="0.2">
      <c r="C3" t="s">
        <v>581</v>
      </c>
      <c r="D3" t="s">
        <v>583</v>
      </c>
      <c r="E3" t="s">
        <v>339</v>
      </c>
      <c r="F3" t="s">
        <v>595</v>
      </c>
    </row>
    <row r="4" spans="2:6" x14ac:dyDescent="0.2">
      <c r="B4" t="s">
        <v>577</v>
      </c>
      <c r="C4" t="s">
        <v>586</v>
      </c>
      <c r="D4" t="s">
        <v>588</v>
      </c>
    </row>
    <row r="5" spans="2:6" x14ac:dyDescent="0.2">
      <c r="C5" t="s">
        <v>587</v>
      </c>
      <c r="D5" t="s">
        <v>588</v>
      </c>
    </row>
    <row r="6" spans="2:6" x14ac:dyDescent="0.2">
      <c r="B6" t="s">
        <v>578</v>
      </c>
      <c r="C6" t="s">
        <v>589</v>
      </c>
      <c r="D6" t="s">
        <v>594</v>
      </c>
    </row>
    <row r="7" spans="2:6" x14ac:dyDescent="0.2">
      <c r="B7" t="s">
        <v>579</v>
      </c>
      <c r="C7" t="s">
        <v>572</v>
      </c>
      <c r="D7" t="s">
        <v>660</v>
      </c>
      <c r="E7" t="s">
        <v>339</v>
      </c>
    </row>
    <row r="8" spans="2:6" x14ac:dyDescent="0.2">
      <c r="D8" t="s">
        <v>591</v>
      </c>
      <c r="E8" t="s">
        <v>339</v>
      </c>
    </row>
    <row r="9" spans="2:6" x14ac:dyDescent="0.2">
      <c r="D9" t="s">
        <v>590</v>
      </c>
      <c r="E9" t="s">
        <v>339</v>
      </c>
    </row>
    <row r="10" spans="2:6" x14ac:dyDescent="0.2">
      <c r="D10" t="s">
        <v>593</v>
      </c>
      <c r="E10" t="s">
        <v>339</v>
      </c>
    </row>
    <row r="11" spans="2:6" x14ac:dyDescent="0.2">
      <c r="D11" t="s">
        <v>592</v>
      </c>
      <c r="E11" t="s">
        <v>585</v>
      </c>
    </row>
    <row r="12" spans="2:6" x14ac:dyDescent="0.2">
      <c r="D12" t="s">
        <v>625</v>
      </c>
      <c r="E12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6ECC-07A0-9B49-BBB0-EE87AA69B4BB}">
  <dimension ref="B3:Z56"/>
  <sheetViews>
    <sheetView tabSelected="1" topLeftCell="A11" workbookViewId="0">
      <selection activeCell="E30" sqref="E30"/>
    </sheetView>
  </sheetViews>
  <sheetFormatPr baseColWidth="10" defaultRowHeight="17" x14ac:dyDescent="0.25"/>
  <cols>
    <col min="2" max="2" width="52" bestFit="1" customWidth="1"/>
    <col min="3" max="3" width="10.83203125" customWidth="1"/>
    <col min="4" max="10" width="10.83203125" style="185"/>
    <col min="11" max="26" width="10.83203125" style="186"/>
  </cols>
  <sheetData>
    <row r="3" spans="2:4" x14ac:dyDescent="0.25">
      <c r="B3" t="s">
        <v>593</v>
      </c>
      <c r="D3" s="185" t="s">
        <v>596</v>
      </c>
    </row>
    <row r="4" spans="2:4" x14ac:dyDescent="0.25">
      <c r="D4" s="185" t="s">
        <v>597</v>
      </c>
    </row>
    <row r="5" spans="2:4" x14ac:dyDescent="0.25">
      <c r="D5" s="185" t="s">
        <v>598</v>
      </c>
    </row>
    <row r="6" spans="2:4" x14ac:dyDescent="0.25">
      <c r="D6" s="185" t="s">
        <v>599</v>
      </c>
    </row>
    <row r="7" spans="2:4" x14ac:dyDescent="0.25">
      <c r="D7" s="185" t="s">
        <v>600</v>
      </c>
    </row>
    <row r="8" spans="2:4" x14ac:dyDescent="0.25">
      <c r="D8" s="185" t="s">
        <v>601</v>
      </c>
    </row>
    <row r="9" spans="2:4" x14ac:dyDescent="0.25">
      <c r="D9" s="185" t="s">
        <v>602</v>
      </c>
    </row>
    <row r="10" spans="2:4" x14ac:dyDescent="0.25">
      <c r="D10" s="185" t="s">
        <v>603</v>
      </c>
    </row>
    <row r="11" spans="2:4" x14ac:dyDescent="0.25">
      <c r="D11" s="185" t="s">
        <v>604</v>
      </c>
    </row>
    <row r="12" spans="2:4" x14ac:dyDescent="0.25">
      <c r="D12" s="185" t="s">
        <v>598</v>
      </c>
    </row>
    <row r="13" spans="2:4" x14ac:dyDescent="0.25">
      <c r="D13" s="185" t="s">
        <v>605</v>
      </c>
    </row>
    <row r="14" spans="2:4" x14ac:dyDescent="0.25">
      <c r="D14" s="185" t="s">
        <v>606</v>
      </c>
    </row>
    <row r="15" spans="2:4" x14ac:dyDescent="0.25">
      <c r="D15" s="185" t="s">
        <v>607</v>
      </c>
    </row>
    <row r="16" spans="2:4" x14ac:dyDescent="0.25">
      <c r="D16" s="185" t="s">
        <v>608</v>
      </c>
    </row>
    <row r="17" spans="2:11" x14ac:dyDescent="0.25">
      <c r="D17" s="185" t="s">
        <v>609</v>
      </c>
    </row>
    <row r="18" spans="2:11" x14ac:dyDescent="0.25">
      <c r="D18" s="185" t="s">
        <v>596</v>
      </c>
    </row>
    <row r="19" spans="2:11" x14ac:dyDescent="0.25">
      <c r="D19" s="185" t="s">
        <v>610</v>
      </c>
    </row>
    <row r="22" spans="2:11" x14ac:dyDescent="0.25">
      <c r="B22" t="s">
        <v>592</v>
      </c>
      <c r="D22" s="185" t="s">
        <v>611</v>
      </c>
    </row>
    <row r="23" spans="2:11" x14ac:dyDescent="0.25">
      <c r="D23" s="185" t="s">
        <v>612</v>
      </c>
    </row>
    <row r="24" spans="2:11" x14ac:dyDescent="0.25">
      <c r="D24" s="185" t="s">
        <v>613</v>
      </c>
    </row>
    <row r="25" spans="2:11" x14ac:dyDescent="0.25">
      <c r="D25" s="185" t="s">
        <v>614</v>
      </c>
    </row>
    <row r="26" spans="2:11" x14ac:dyDescent="0.25">
      <c r="D26" s="185" t="s">
        <v>615</v>
      </c>
    </row>
    <row r="27" spans="2:11" x14ac:dyDescent="0.25">
      <c r="D27" s="185" t="s">
        <v>616</v>
      </c>
    </row>
    <row r="28" spans="2:11" x14ac:dyDescent="0.25">
      <c r="D28" s="185" t="s">
        <v>617</v>
      </c>
    </row>
    <row r="29" spans="2:11" x14ac:dyDescent="0.25">
      <c r="D29" s="185" t="s">
        <v>618</v>
      </c>
      <c r="K29" s="186" t="s">
        <v>639</v>
      </c>
    </row>
    <row r="30" spans="2:11" x14ac:dyDescent="0.25">
      <c r="D30" s="185" t="s">
        <v>619</v>
      </c>
    </row>
    <row r="31" spans="2:11" x14ac:dyDescent="0.25">
      <c r="D31" s="185" t="s">
        <v>613</v>
      </c>
    </row>
    <row r="32" spans="2:11" x14ac:dyDescent="0.25">
      <c r="D32" s="185" t="s">
        <v>620</v>
      </c>
    </row>
    <row r="33" spans="2:11" x14ac:dyDescent="0.25">
      <c r="D33" s="185" t="s">
        <v>621</v>
      </c>
    </row>
    <row r="34" spans="2:11" x14ac:dyDescent="0.25">
      <c r="D34" s="185" t="s">
        <v>622</v>
      </c>
    </row>
    <row r="35" spans="2:11" x14ac:dyDescent="0.25">
      <c r="D35" s="185" t="s">
        <v>623</v>
      </c>
    </row>
    <row r="36" spans="2:11" x14ac:dyDescent="0.25">
      <c r="D36" s="185" t="s">
        <v>624</v>
      </c>
    </row>
    <row r="37" spans="2:11" x14ac:dyDescent="0.25">
      <c r="D37" s="185" t="s">
        <v>611</v>
      </c>
    </row>
    <row r="38" spans="2:11" x14ac:dyDescent="0.25">
      <c r="D38" s="185" t="s">
        <v>610</v>
      </c>
    </row>
    <row r="40" spans="2:11" x14ac:dyDescent="0.25">
      <c r="B40" t="s">
        <v>625</v>
      </c>
      <c r="D40" s="185" t="s">
        <v>596</v>
      </c>
    </row>
    <row r="41" spans="2:11" x14ac:dyDescent="0.25">
      <c r="D41" s="185" t="s">
        <v>626</v>
      </c>
    </row>
    <row r="42" spans="2:11" x14ac:dyDescent="0.25">
      <c r="D42" s="185" t="s">
        <v>598</v>
      </c>
    </row>
    <row r="43" spans="2:11" x14ac:dyDescent="0.25">
      <c r="D43" s="185" t="s">
        <v>627</v>
      </c>
    </row>
    <row r="44" spans="2:11" x14ac:dyDescent="0.25">
      <c r="D44" s="185" t="s">
        <v>628</v>
      </c>
    </row>
    <row r="45" spans="2:11" x14ac:dyDescent="0.25">
      <c r="D45" s="185" t="s">
        <v>629</v>
      </c>
    </row>
    <row r="46" spans="2:11" x14ac:dyDescent="0.25">
      <c r="D46" s="185" t="s">
        <v>630</v>
      </c>
    </row>
    <row r="47" spans="2:11" x14ac:dyDescent="0.25">
      <c r="D47" s="185" t="s">
        <v>631</v>
      </c>
      <c r="K47" s="186" t="s">
        <v>638</v>
      </c>
    </row>
    <row r="48" spans="2:11" x14ac:dyDescent="0.25">
      <c r="D48" s="185" t="s">
        <v>632</v>
      </c>
    </row>
    <row r="49" spans="4:4" x14ac:dyDescent="0.25">
      <c r="D49" s="185" t="s">
        <v>598</v>
      </c>
    </row>
    <row r="50" spans="4:4" x14ac:dyDescent="0.25">
      <c r="D50" s="185" t="s">
        <v>633</v>
      </c>
    </row>
    <row r="51" spans="4:4" x14ac:dyDescent="0.25">
      <c r="D51" s="185" t="s">
        <v>634</v>
      </c>
    </row>
    <row r="52" spans="4:4" x14ac:dyDescent="0.25">
      <c r="D52" s="185" t="s">
        <v>635</v>
      </c>
    </row>
    <row r="53" spans="4:4" x14ac:dyDescent="0.25">
      <c r="D53" s="185" t="s">
        <v>636</v>
      </c>
    </row>
    <row r="54" spans="4:4" x14ac:dyDescent="0.25">
      <c r="D54" s="185" t="s">
        <v>637</v>
      </c>
    </row>
    <row r="55" spans="4:4" x14ac:dyDescent="0.25">
      <c r="D55" s="185" t="s">
        <v>596</v>
      </c>
    </row>
    <row r="56" spans="4:4" x14ac:dyDescent="0.25">
      <c r="D56" s="185" t="s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A5B3-B001-5E4C-8923-ACBF510FEE8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8392-57F3-DA44-A638-CAE1AE9DCA0E}">
  <dimension ref="B2:D11"/>
  <sheetViews>
    <sheetView topLeftCell="A3" zoomScale="140" zoomScaleNormal="140" workbookViewId="0">
      <selection activeCell="D11" sqref="D11"/>
    </sheetView>
  </sheetViews>
  <sheetFormatPr baseColWidth="10" defaultRowHeight="16" x14ac:dyDescent="0.2"/>
  <cols>
    <col min="1" max="1" width="10.83203125" style="26"/>
    <col min="2" max="2" width="21.83203125" style="26" bestFit="1" customWidth="1"/>
    <col min="3" max="3" width="74" style="26" customWidth="1"/>
    <col min="4" max="4" width="88" style="26" customWidth="1"/>
    <col min="5" max="16384" width="10.83203125" style="26"/>
  </cols>
  <sheetData>
    <row r="2" spans="2:4" x14ac:dyDescent="0.2">
      <c r="C2" s="105" t="s">
        <v>480</v>
      </c>
    </row>
    <row r="4" spans="2:4" ht="17" thickBot="1" x14ac:dyDescent="0.25"/>
    <row r="5" spans="2:4" ht="23" thickBot="1" x14ac:dyDescent="0.25">
      <c r="B5" s="27" t="s">
        <v>388</v>
      </c>
      <c r="C5" s="27" t="s">
        <v>389</v>
      </c>
      <c r="D5" s="27" t="s">
        <v>390</v>
      </c>
    </row>
    <row r="6" spans="2:4" ht="22" x14ac:dyDescent="0.2">
      <c r="B6" s="124" t="s">
        <v>391</v>
      </c>
      <c r="C6" s="28" t="s">
        <v>392</v>
      </c>
      <c r="D6" s="28" t="s">
        <v>393</v>
      </c>
    </row>
    <row r="7" spans="2:4" ht="111" thickBot="1" x14ac:dyDescent="0.25">
      <c r="B7" s="125"/>
      <c r="C7" s="104" t="s">
        <v>538</v>
      </c>
      <c r="D7" s="104" t="s">
        <v>575</v>
      </c>
    </row>
    <row r="8" spans="2:4" ht="22" x14ac:dyDescent="0.2">
      <c r="B8" s="124" t="s">
        <v>394</v>
      </c>
      <c r="C8" s="28" t="s">
        <v>398</v>
      </c>
      <c r="D8" s="124" t="s">
        <v>395</v>
      </c>
    </row>
    <row r="9" spans="2:4" ht="89" thickBot="1" x14ac:dyDescent="0.25">
      <c r="B9" s="125"/>
      <c r="C9" s="104" t="s">
        <v>537</v>
      </c>
      <c r="D9" s="125"/>
    </row>
    <row r="10" spans="2:4" ht="22" x14ac:dyDescent="0.2">
      <c r="B10" s="124" t="s">
        <v>396</v>
      </c>
      <c r="C10" s="124" t="s">
        <v>395</v>
      </c>
      <c r="D10" s="28" t="s">
        <v>397</v>
      </c>
    </row>
    <row r="11" spans="2:4" ht="111" thickBot="1" x14ac:dyDescent="0.25">
      <c r="B11" s="125"/>
      <c r="C11" s="125"/>
      <c r="D11" s="104" t="s">
        <v>574</v>
      </c>
    </row>
  </sheetData>
  <mergeCells count="5">
    <mergeCell ref="B6:B7"/>
    <mergeCell ref="B8:B9"/>
    <mergeCell ref="D8:D9"/>
    <mergeCell ref="B10:B11"/>
    <mergeCell ref="C10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0E32-A59B-9548-9A1A-62B4C8E80AF6}">
  <dimension ref="B2:F31"/>
  <sheetViews>
    <sheetView topLeftCell="A2" workbookViewId="0">
      <selection activeCell="D24" sqref="D24"/>
    </sheetView>
  </sheetViews>
  <sheetFormatPr baseColWidth="10" defaultRowHeight="22" x14ac:dyDescent="0.3"/>
  <cols>
    <col min="1" max="1" width="10.83203125" style="97"/>
    <col min="2" max="2" width="22.1640625" style="97" bestFit="1" customWidth="1"/>
    <col min="3" max="3" width="45" style="97" customWidth="1"/>
    <col min="4" max="4" width="77" style="96" bestFit="1" customWidth="1"/>
    <col min="5" max="5" width="80.1640625" style="96" customWidth="1"/>
    <col min="6" max="6" width="89.5" style="97" customWidth="1"/>
    <col min="7" max="16384" width="10.83203125" style="97"/>
  </cols>
  <sheetData>
    <row r="2" spans="2:6" x14ac:dyDescent="0.3">
      <c r="B2" s="136"/>
      <c r="C2" s="136"/>
      <c r="D2" s="103" t="s">
        <v>389</v>
      </c>
      <c r="E2" s="103" t="s">
        <v>390</v>
      </c>
      <c r="F2" s="103" t="s">
        <v>465</v>
      </c>
    </row>
    <row r="3" spans="2:6" ht="46" x14ac:dyDescent="0.3">
      <c r="B3" s="135" t="s">
        <v>462</v>
      </c>
      <c r="C3" s="135"/>
      <c r="D3" s="98" t="s">
        <v>468</v>
      </c>
      <c r="E3" s="98" t="s">
        <v>469</v>
      </c>
      <c r="F3" s="99"/>
    </row>
    <row r="4" spans="2:6" ht="23" x14ac:dyDescent="0.3">
      <c r="B4" s="130" t="s">
        <v>560</v>
      </c>
      <c r="C4" s="126" t="s">
        <v>466</v>
      </c>
      <c r="D4" s="122" t="s">
        <v>477</v>
      </c>
      <c r="E4" s="122" t="s">
        <v>562</v>
      </c>
      <c r="F4" s="99"/>
    </row>
    <row r="5" spans="2:6" ht="46" x14ac:dyDescent="0.3">
      <c r="B5" s="131"/>
      <c r="C5" s="127"/>
      <c r="D5" s="122"/>
      <c r="E5" s="122" t="s">
        <v>563</v>
      </c>
      <c r="F5" s="99"/>
    </row>
    <row r="6" spans="2:6" x14ac:dyDescent="0.3">
      <c r="B6" s="131"/>
      <c r="C6" s="127"/>
      <c r="D6" s="102" t="s">
        <v>474</v>
      </c>
      <c r="E6" s="122"/>
      <c r="F6" s="99"/>
    </row>
    <row r="7" spans="2:6" ht="46" customHeight="1" x14ac:dyDescent="0.3">
      <c r="B7" s="131"/>
      <c r="C7" s="128"/>
      <c r="D7" s="102" t="s">
        <v>564</v>
      </c>
      <c r="E7" s="122"/>
      <c r="F7" s="99"/>
    </row>
    <row r="8" spans="2:6" ht="69" x14ac:dyDescent="0.3">
      <c r="B8" s="131"/>
      <c r="C8" s="99" t="s">
        <v>467</v>
      </c>
      <c r="D8" s="98" t="s">
        <v>470</v>
      </c>
      <c r="E8" s="100"/>
      <c r="F8" s="99"/>
    </row>
    <row r="9" spans="2:6" x14ac:dyDescent="0.3">
      <c r="B9" s="131"/>
      <c r="C9" s="99"/>
      <c r="D9" s="122"/>
      <c r="E9" s="123" t="s">
        <v>557</v>
      </c>
      <c r="F9" s="102"/>
    </row>
    <row r="10" spans="2:6" x14ac:dyDescent="0.3">
      <c r="B10" s="132"/>
      <c r="C10" s="99" t="s">
        <v>561</v>
      </c>
      <c r="D10" s="123"/>
      <c r="E10" s="123" t="s">
        <v>558</v>
      </c>
      <c r="F10" s="102"/>
    </row>
    <row r="11" spans="2:6" x14ac:dyDescent="0.3">
      <c r="B11" s="133" t="s">
        <v>559</v>
      </c>
      <c r="C11" s="99" t="s">
        <v>475</v>
      </c>
      <c r="D11" s="100"/>
      <c r="E11" s="100"/>
      <c r="F11" s="102" t="s">
        <v>476</v>
      </c>
    </row>
    <row r="12" spans="2:6" x14ac:dyDescent="0.3">
      <c r="B12" s="134"/>
      <c r="C12" s="99" t="s">
        <v>478</v>
      </c>
      <c r="D12" s="100"/>
      <c r="E12" s="100"/>
      <c r="F12" s="102" t="s">
        <v>479</v>
      </c>
    </row>
    <row r="13" spans="2:6" ht="23" customHeight="1" x14ac:dyDescent="0.3">
      <c r="B13" s="134"/>
      <c r="C13" s="129" t="s">
        <v>471</v>
      </c>
      <c r="D13" s="100"/>
      <c r="E13" s="101" t="s">
        <v>472</v>
      </c>
      <c r="F13" s="99"/>
    </row>
    <row r="14" spans="2:6" ht="23" x14ac:dyDescent="0.3">
      <c r="B14" s="134"/>
      <c r="C14" s="129"/>
      <c r="D14" s="100"/>
      <c r="E14" s="98" t="s">
        <v>473</v>
      </c>
      <c r="F14" s="99"/>
    </row>
    <row r="18" spans="2:6" ht="23" x14ac:dyDescent="0.3">
      <c r="C18" s="97" t="s">
        <v>462</v>
      </c>
      <c r="D18" s="96" t="s">
        <v>565</v>
      </c>
    </row>
    <row r="19" spans="2:6" ht="23" x14ac:dyDescent="0.3">
      <c r="D19" s="96" t="s">
        <v>566</v>
      </c>
    </row>
    <row r="20" spans="2:6" ht="23" x14ac:dyDescent="0.3">
      <c r="D20" s="96" t="s">
        <v>567</v>
      </c>
    </row>
    <row r="21" spans="2:6" ht="23" x14ac:dyDescent="0.3">
      <c r="D21" s="96" t="s">
        <v>568</v>
      </c>
    </row>
    <row r="22" spans="2:6" ht="23" x14ac:dyDescent="0.3">
      <c r="B22" s="97" t="s">
        <v>569</v>
      </c>
      <c r="C22" s="97" t="s">
        <v>570</v>
      </c>
      <c r="D22" s="96" t="s">
        <v>571</v>
      </c>
    </row>
    <row r="23" spans="2:6" ht="23" x14ac:dyDescent="0.3">
      <c r="C23" s="97" t="s">
        <v>572</v>
      </c>
      <c r="D23" s="96" t="s">
        <v>573</v>
      </c>
    </row>
    <row r="28" spans="2:6" x14ac:dyDescent="0.3">
      <c r="C28" s="99"/>
      <c r="D28" s="106" t="s">
        <v>481</v>
      </c>
      <c r="E28" s="100"/>
      <c r="F28" s="99"/>
    </row>
    <row r="29" spans="2:6" x14ac:dyDescent="0.3">
      <c r="C29" s="99"/>
      <c r="D29" s="100"/>
      <c r="E29" s="106" t="s">
        <v>482</v>
      </c>
      <c r="F29" s="99"/>
    </row>
    <row r="30" spans="2:6" x14ac:dyDescent="0.3">
      <c r="C30" s="99"/>
      <c r="D30" s="100"/>
      <c r="E30" s="100"/>
      <c r="F30" s="106" t="s">
        <v>483</v>
      </c>
    </row>
    <row r="31" spans="2:6" x14ac:dyDescent="0.3">
      <c r="C31" s="99"/>
      <c r="D31" s="106" t="s">
        <v>484</v>
      </c>
      <c r="E31" s="100"/>
      <c r="F31" s="99"/>
    </row>
  </sheetData>
  <mergeCells count="6">
    <mergeCell ref="B2:C2"/>
    <mergeCell ref="C4:C7"/>
    <mergeCell ref="C13:C14"/>
    <mergeCell ref="B4:B10"/>
    <mergeCell ref="B11:B14"/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D18A-C464-364C-95F7-F927C76322D3}">
  <dimension ref="B2:AI107"/>
  <sheetViews>
    <sheetView topLeftCell="B2" zoomScale="90" zoomScaleNormal="90" workbookViewId="0">
      <selection activeCell="I57" sqref="I57"/>
    </sheetView>
  </sheetViews>
  <sheetFormatPr baseColWidth="10" defaultRowHeight="22" x14ac:dyDescent="0.3"/>
  <cols>
    <col min="2" max="2" width="21.83203125" style="96" bestFit="1" customWidth="1"/>
    <col min="3" max="3" width="21.6640625" style="39" bestFit="1" customWidth="1"/>
    <col min="4" max="5" width="21.6640625" style="39" customWidth="1"/>
    <col min="6" max="7" width="18.83203125" style="39" customWidth="1"/>
    <col min="8" max="9" width="21.6640625" style="39" customWidth="1"/>
    <col min="10" max="12" width="18.83203125" style="39" customWidth="1"/>
    <col min="13" max="13" width="22" style="75" customWidth="1"/>
    <col min="14" max="14" width="24" style="75" customWidth="1"/>
    <col min="15" max="16" width="21.6640625" style="75" customWidth="1"/>
    <col min="17" max="18" width="18.83203125" style="75" customWidth="1"/>
    <col min="19" max="19" width="10.83203125" style="32"/>
    <col min="20" max="20" width="14.33203125" style="32" bestFit="1" customWidth="1"/>
    <col min="21" max="26" width="10.83203125" style="32"/>
    <col min="27" max="27" width="10.83203125" style="84"/>
    <col min="28" max="35" width="10.83203125" style="1"/>
  </cols>
  <sheetData>
    <row r="2" spans="2:27" x14ac:dyDescent="0.2">
      <c r="B2" s="30" t="s">
        <v>388</v>
      </c>
      <c r="C2" s="165" t="s">
        <v>389</v>
      </c>
      <c r="D2" s="165"/>
      <c r="E2" s="165"/>
      <c r="F2" s="165"/>
      <c r="G2" s="165"/>
      <c r="H2" s="165"/>
      <c r="I2" s="165"/>
      <c r="J2" s="165"/>
      <c r="K2" s="165"/>
      <c r="L2" s="165"/>
      <c r="M2" s="166" t="s">
        <v>390</v>
      </c>
      <c r="N2" s="166"/>
      <c r="O2" s="166"/>
      <c r="P2" s="166"/>
      <c r="Q2" s="166"/>
      <c r="R2" s="166"/>
      <c r="S2" s="144" t="s">
        <v>461</v>
      </c>
      <c r="T2" s="144"/>
      <c r="U2" s="144"/>
      <c r="V2" s="144"/>
      <c r="W2" s="144"/>
      <c r="X2" s="144"/>
      <c r="Y2" s="144"/>
      <c r="Z2" s="144"/>
      <c r="AA2" s="144"/>
    </row>
    <row r="3" spans="2:27" ht="21" x14ac:dyDescent="0.2">
      <c r="B3" s="158" t="s">
        <v>462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72"/>
      <c r="N3" s="72"/>
      <c r="O3" s="72"/>
      <c r="P3" s="72"/>
      <c r="Q3" s="72"/>
      <c r="R3" s="72"/>
    </row>
    <row r="4" spans="2:27" ht="21" x14ac:dyDescent="0.2">
      <c r="B4" s="159"/>
      <c r="C4" s="37"/>
      <c r="D4" s="38"/>
      <c r="E4" s="38"/>
      <c r="F4" s="38"/>
      <c r="G4" s="38"/>
      <c r="H4" s="38"/>
      <c r="J4" s="40" t="s">
        <v>421</v>
      </c>
      <c r="K4" s="38"/>
      <c r="L4" s="38"/>
      <c r="M4" s="73"/>
      <c r="N4" s="73"/>
      <c r="O4" s="72"/>
      <c r="P4" s="72"/>
      <c r="Q4" s="72"/>
      <c r="R4" s="72"/>
      <c r="T4" s="34" t="s">
        <v>452</v>
      </c>
    </row>
    <row r="5" spans="2:27" ht="21" customHeight="1" x14ac:dyDescent="0.2">
      <c r="B5" s="159"/>
      <c r="C5" s="37"/>
      <c r="D5" s="38"/>
      <c r="E5" s="38"/>
      <c r="F5" s="38"/>
      <c r="G5" s="38"/>
      <c r="H5" s="38"/>
      <c r="J5" s="41"/>
      <c r="K5" s="42" t="s">
        <v>340</v>
      </c>
      <c r="L5" s="42" t="s">
        <v>341</v>
      </c>
      <c r="M5" s="74" t="s">
        <v>342</v>
      </c>
      <c r="N5" s="74" t="s">
        <v>343</v>
      </c>
      <c r="O5" s="72"/>
      <c r="P5" s="72"/>
      <c r="Q5" s="72"/>
      <c r="R5" s="72"/>
      <c r="T5" s="85"/>
      <c r="U5" s="35" t="s">
        <v>340</v>
      </c>
      <c r="V5" s="35" t="s">
        <v>341</v>
      </c>
      <c r="W5" s="35" t="s">
        <v>342</v>
      </c>
      <c r="X5" s="35" t="s">
        <v>343</v>
      </c>
      <c r="Y5" s="35" t="s">
        <v>419</v>
      </c>
    </row>
    <row r="6" spans="2:27" ht="16" customHeight="1" x14ac:dyDescent="0.2">
      <c r="B6" s="159"/>
      <c r="D6" s="38"/>
      <c r="E6" s="38"/>
      <c r="F6" s="38"/>
      <c r="G6" s="38"/>
      <c r="H6" s="38"/>
      <c r="J6" s="43" t="s">
        <v>388</v>
      </c>
      <c r="K6" s="162" t="s">
        <v>399</v>
      </c>
      <c r="L6" s="162"/>
      <c r="M6" s="151" t="s">
        <v>400</v>
      </c>
      <c r="N6" s="151"/>
      <c r="T6" s="147" t="s">
        <v>345</v>
      </c>
      <c r="U6" s="148" t="s">
        <v>458</v>
      </c>
      <c r="V6" s="148"/>
      <c r="W6" s="148"/>
      <c r="X6" s="86" t="s">
        <v>459</v>
      </c>
      <c r="Y6" s="86" t="s">
        <v>460</v>
      </c>
    </row>
    <row r="7" spans="2:27" ht="16" x14ac:dyDescent="0.2">
      <c r="B7" s="159"/>
      <c r="D7" s="38"/>
      <c r="E7" s="38"/>
      <c r="F7" s="38"/>
      <c r="G7" s="38"/>
      <c r="H7" s="38"/>
      <c r="J7" s="163" t="s">
        <v>334</v>
      </c>
      <c r="K7" s="44" t="s">
        <v>6</v>
      </c>
      <c r="L7" s="44" t="s">
        <v>67</v>
      </c>
      <c r="M7" s="76" t="s">
        <v>41</v>
      </c>
      <c r="N7" s="76" t="s">
        <v>387</v>
      </c>
      <c r="T7" s="147"/>
      <c r="U7" s="87" t="s">
        <v>449</v>
      </c>
      <c r="V7" s="36" t="s">
        <v>450</v>
      </c>
      <c r="W7" s="36" t="s">
        <v>451</v>
      </c>
      <c r="X7" s="88"/>
      <c r="Y7" s="88"/>
    </row>
    <row r="8" spans="2:27" ht="16" customHeight="1" x14ac:dyDescent="0.2">
      <c r="B8" s="159"/>
      <c r="D8" s="38"/>
      <c r="E8" s="38"/>
      <c r="F8" s="38"/>
      <c r="G8" s="38"/>
      <c r="H8" s="38"/>
      <c r="J8" s="163"/>
      <c r="K8" s="44" t="s">
        <v>16</v>
      </c>
      <c r="L8" s="44" t="s">
        <v>30</v>
      </c>
      <c r="M8" s="76" t="s">
        <v>383</v>
      </c>
      <c r="N8" s="76" t="s">
        <v>88</v>
      </c>
      <c r="T8" s="149" t="s">
        <v>403</v>
      </c>
      <c r="U8" s="86">
        <v>-0.01</v>
      </c>
      <c r="V8" s="89">
        <v>-2E-3</v>
      </c>
      <c r="W8" s="89">
        <v>-8.9999999999999993E-3</v>
      </c>
      <c r="X8" s="86">
        <v>-3.9E-2</v>
      </c>
      <c r="Y8" s="86">
        <v>-8.9999999999999993E-3</v>
      </c>
    </row>
    <row r="9" spans="2:27" ht="16" x14ac:dyDescent="0.2">
      <c r="B9" s="159"/>
      <c r="D9" s="38"/>
      <c r="E9" s="38"/>
      <c r="F9" s="38"/>
      <c r="G9" s="38"/>
      <c r="H9" s="38"/>
      <c r="J9" s="163" t="s">
        <v>401</v>
      </c>
      <c r="K9" s="44"/>
      <c r="L9" s="44" t="s">
        <v>76</v>
      </c>
      <c r="M9" s="76"/>
      <c r="N9" s="76" t="s">
        <v>384</v>
      </c>
      <c r="T9" s="150"/>
      <c r="U9" s="90" t="s">
        <v>453</v>
      </c>
      <c r="V9" s="91" t="s">
        <v>454</v>
      </c>
      <c r="W9" s="91" t="s">
        <v>454</v>
      </c>
      <c r="X9" s="90" t="s">
        <v>222</v>
      </c>
      <c r="Y9" s="90" t="s">
        <v>29</v>
      </c>
    </row>
    <row r="10" spans="2:27" ht="16" customHeight="1" x14ac:dyDescent="0.2">
      <c r="B10" s="159"/>
      <c r="D10" s="38"/>
      <c r="E10" s="38"/>
      <c r="F10" s="38"/>
      <c r="G10" s="38"/>
      <c r="H10" s="38"/>
      <c r="J10" s="163"/>
      <c r="K10" s="44"/>
      <c r="L10" s="44" t="s">
        <v>26</v>
      </c>
      <c r="M10" s="76"/>
      <c r="N10" s="76" t="s">
        <v>16</v>
      </c>
      <c r="T10" s="92" t="s">
        <v>338</v>
      </c>
      <c r="U10" s="86" t="s">
        <v>336</v>
      </c>
      <c r="V10" s="86" t="s">
        <v>336</v>
      </c>
      <c r="W10" s="86" t="s">
        <v>336</v>
      </c>
      <c r="X10" s="86" t="s">
        <v>336</v>
      </c>
      <c r="Y10" s="86" t="s">
        <v>336</v>
      </c>
    </row>
    <row r="11" spans="2:27" ht="16" x14ac:dyDescent="0.2">
      <c r="B11" s="159"/>
      <c r="D11" s="38"/>
      <c r="E11" s="38"/>
      <c r="F11" s="38"/>
      <c r="G11" s="38"/>
      <c r="H11" s="38"/>
      <c r="J11" s="163" t="s">
        <v>402</v>
      </c>
      <c r="K11" s="44"/>
      <c r="L11" s="44" t="s">
        <v>80</v>
      </c>
      <c r="M11" s="76"/>
      <c r="N11" s="76" t="s">
        <v>385</v>
      </c>
      <c r="T11" s="93" t="s">
        <v>412</v>
      </c>
      <c r="U11" s="87" t="s">
        <v>336</v>
      </c>
      <c r="V11" s="87" t="s">
        <v>336</v>
      </c>
      <c r="W11" s="87" t="s">
        <v>336</v>
      </c>
      <c r="X11" s="87" t="s">
        <v>336</v>
      </c>
      <c r="Y11" s="87" t="s">
        <v>336</v>
      </c>
    </row>
    <row r="12" spans="2:27" ht="16" x14ac:dyDescent="0.2">
      <c r="B12" s="159"/>
      <c r="D12" s="38"/>
      <c r="E12" s="38"/>
      <c r="F12" s="38"/>
      <c r="G12" s="38"/>
      <c r="H12" s="38"/>
      <c r="J12" s="164"/>
      <c r="K12" s="45"/>
      <c r="L12" s="45" t="s">
        <v>85</v>
      </c>
      <c r="M12" s="77"/>
      <c r="N12" s="77" t="s">
        <v>99</v>
      </c>
      <c r="T12" s="93" t="s">
        <v>339</v>
      </c>
      <c r="U12" s="94">
        <v>3613</v>
      </c>
      <c r="V12" s="94">
        <v>3613</v>
      </c>
      <c r="W12" s="94">
        <v>3613</v>
      </c>
      <c r="X12" s="94">
        <v>2748</v>
      </c>
      <c r="Y12" s="94">
        <v>3613</v>
      </c>
    </row>
    <row r="13" spans="2:27" ht="16" x14ac:dyDescent="0.2">
      <c r="B13" s="159"/>
      <c r="D13" s="38"/>
      <c r="E13" s="38"/>
      <c r="F13" s="38"/>
      <c r="G13" s="38"/>
      <c r="H13" s="38"/>
      <c r="J13" s="46" t="s">
        <v>335</v>
      </c>
      <c r="K13" s="44" t="s">
        <v>336</v>
      </c>
      <c r="L13" s="44" t="s">
        <v>336</v>
      </c>
      <c r="M13" s="76" t="s">
        <v>336</v>
      </c>
      <c r="N13" s="76" t="s">
        <v>336</v>
      </c>
    </row>
    <row r="14" spans="2:27" ht="16" x14ac:dyDescent="0.2">
      <c r="B14" s="159"/>
      <c r="D14" s="38"/>
      <c r="E14" s="38"/>
      <c r="F14" s="38"/>
      <c r="G14" s="38"/>
      <c r="H14" s="38"/>
      <c r="J14" s="46" t="s">
        <v>337</v>
      </c>
      <c r="K14" s="44" t="s">
        <v>336</v>
      </c>
      <c r="L14" s="44" t="s">
        <v>336</v>
      </c>
      <c r="M14" s="76" t="s">
        <v>336</v>
      </c>
      <c r="N14" s="76" t="s">
        <v>336</v>
      </c>
    </row>
    <row r="15" spans="2:27" ht="16" x14ac:dyDescent="0.2">
      <c r="B15" s="159"/>
      <c r="D15" s="38"/>
      <c r="E15" s="38"/>
      <c r="F15" s="38"/>
      <c r="G15" s="38"/>
      <c r="H15" s="38"/>
      <c r="J15" s="46" t="s">
        <v>338</v>
      </c>
      <c r="K15" s="44" t="s">
        <v>336</v>
      </c>
      <c r="L15" s="44" t="s">
        <v>336</v>
      </c>
      <c r="M15" s="76" t="s">
        <v>336</v>
      </c>
      <c r="N15" s="76" t="s">
        <v>336</v>
      </c>
    </row>
    <row r="16" spans="2:27" ht="16" x14ac:dyDescent="0.2">
      <c r="B16" s="159"/>
      <c r="J16" s="47" t="s">
        <v>339</v>
      </c>
      <c r="K16" s="45" t="s">
        <v>344</v>
      </c>
      <c r="L16" s="45" t="s">
        <v>347</v>
      </c>
      <c r="M16" s="77" t="s">
        <v>386</v>
      </c>
      <c r="N16" s="77" t="s">
        <v>386</v>
      </c>
    </row>
    <row r="17" spans="2:35" ht="16" x14ac:dyDescent="0.2">
      <c r="B17" s="159"/>
    </row>
    <row r="18" spans="2:35" ht="16" x14ac:dyDescent="0.2">
      <c r="B18" s="159"/>
    </row>
    <row r="19" spans="2:35" ht="16" x14ac:dyDescent="0.2">
      <c r="B19" s="159"/>
    </row>
    <row r="20" spans="2:35" ht="16" x14ac:dyDescent="0.2">
      <c r="B20" s="159"/>
    </row>
    <row r="21" spans="2:35" ht="16" x14ac:dyDescent="0.2">
      <c r="B21" s="159"/>
    </row>
    <row r="22" spans="2:35" ht="16" x14ac:dyDescent="0.2">
      <c r="B22" s="159"/>
    </row>
    <row r="23" spans="2:35" ht="16" x14ac:dyDescent="0.2">
      <c r="B23" s="159"/>
    </row>
    <row r="24" spans="2:35" ht="16" customHeight="1" x14ac:dyDescent="0.2">
      <c r="B24" s="160" t="s">
        <v>464</v>
      </c>
    </row>
    <row r="25" spans="2:35" ht="16" x14ac:dyDescent="0.2">
      <c r="B25" s="160"/>
      <c r="J25" s="188"/>
    </row>
    <row r="26" spans="2:35" ht="16" x14ac:dyDescent="0.2">
      <c r="B26" s="160"/>
      <c r="D26" s="41"/>
      <c r="E26" s="42" t="s">
        <v>340</v>
      </c>
      <c r="F26" s="42" t="s">
        <v>341</v>
      </c>
      <c r="J26" s="188"/>
      <c r="N26" s="117"/>
      <c r="O26" s="74" t="s">
        <v>340</v>
      </c>
      <c r="P26" s="74" t="s">
        <v>341</v>
      </c>
    </row>
    <row r="27" spans="2:35" ht="16" x14ac:dyDescent="0.2">
      <c r="B27" s="160"/>
      <c r="E27" s="116" t="s">
        <v>547</v>
      </c>
      <c r="F27" s="116" t="s">
        <v>548</v>
      </c>
      <c r="J27" s="188"/>
      <c r="O27" s="118" t="s">
        <v>551</v>
      </c>
      <c r="P27" s="118" t="s">
        <v>552</v>
      </c>
    </row>
    <row r="28" spans="2:35" s="26" customFormat="1" ht="16" customHeight="1" x14ac:dyDescent="0.2">
      <c r="B28" s="160"/>
      <c r="C28" s="39"/>
      <c r="D28" s="43" t="s">
        <v>388</v>
      </c>
      <c r="E28" s="162" t="s">
        <v>399</v>
      </c>
      <c r="F28" s="162"/>
      <c r="G28" s="38"/>
      <c r="H28" s="38"/>
      <c r="I28" s="38"/>
      <c r="J28" s="188"/>
      <c r="K28" s="39"/>
      <c r="L28" s="39"/>
      <c r="M28" s="75"/>
      <c r="N28" s="119" t="s">
        <v>388</v>
      </c>
      <c r="O28" s="151" t="s">
        <v>400</v>
      </c>
      <c r="P28" s="151"/>
      <c r="Q28" s="75"/>
      <c r="R28" s="75"/>
      <c r="S28" s="33"/>
      <c r="T28" s="33"/>
      <c r="U28" s="33"/>
      <c r="V28" s="33"/>
      <c r="W28" s="33"/>
      <c r="X28" s="33"/>
      <c r="Y28" s="33"/>
      <c r="Z28" s="33"/>
      <c r="AA28" s="95"/>
      <c r="AB28" s="31"/>
      <c r="AC28" s="31"/>
      <c r="AD28" s="31"/>
      <c r="AE28" s="31"/>
      <c r="AF28" s="31"/>
      <c r="AG28" s="31"/>
      <c r="AH28" s="31"/>
      <c r="AI28" s="31"/>
    </row>
    <row r="29" spans="2:35" ht="16" x14ac:dyDescent="0.2">
      <c r="B29" s="160"/>
      <c r="D29" s="163" t="s">
        <v>334</v>
      </c>
      <c r="E29" s="44" t="s">
        <v>539</v>
      </c>
      <c r="F29" s="44" t="s">
        <v>541</v>
      </c>
      <c r="G29" s="38" t="s">
        <v>553</v>
      </c>
      <c r="H29" s="38"/>
      <c r="I29" s="38"/>
      <c r="J29" s="188"/>
      <c r="N29" s="152" t="s">
        <v>334</v>
      </c>
      <c r="O29" s="76" t="s">
        <v>640</v>
      </c>
      <c r="P29" s="76" t="s">
        <v>645</v>
      </c>
      <c r="Q29" s="73"/>
      <c r="R29" s="73"/>
    </row>
    <row r="30" spans="2:35" ht="16" customHeight="1" x14ac:dyDescent="0.2">
      <c r="B30" s="160"/>
      <c r="D30" s="163"/>
      <c r="E30" s="44" t="s">
        <v>94</v>
      </c>
      <c r="F30" s="44" t="s">
        <v>542</v>
      </c>
      <c r="G30" s="38" t="s">
        <v>554</v>
      </c>
      <c r="H30" s="38"/>
      <c r="I30" s="38"/>
      <c r="J30" s="188"/>
      <c r="N30" s="152"/>
      <c r="O30" s="76" t="s">
        <v>641</v>
      </c>
      <c r="P30" s="76" t="s">
        <v>646</v>
      </c>
      <c r="Q30" s="73"/>
      <c r="R30" s="73"/>
    </row>
    <row r="31" spans="2:35" ht="16" x14ac:dyDescent="0.2">
      <c r="B31" s="160"/>
      <c r="D31" s="163" t="s">
        <v>401</v>
      </c>
      <c r="E31" s="44" t="s">
        <v>540</v>
      </c>
      <c r="F31" s="44" t="s">
        <v>55</v>
      </c>
      <c r="G31" s="38" t="s">
        <v>555</v>
      </c>
      <c r="H31" s="38"/>
      <c r="I31" s="38"/>
      <c r="J31" s="188"/>
      <c r="N31" s="152" t="s">
        <v>401</v>
      </c>
      <c r="O31" s="76" t="s">
        <v>642</v>
      </c>
      <c r="P31" s="76" t="s">
        <v>384</v>
      </c>
      <c r="Q31" s="73"/>
      <c r="R31" s="73"/>
    </row>
    <row r="32" spans="2:35" ht="16" customHeight="1" x14ac:dyDescent="0.2">
      <c r="B32" s="160"/>
      <c r="D32" s="163"/>
      <c r="E32" s="44" t="s">
        <v>57</v>
      </c>
      <c r="F32" s="44" t="s">
        <v>543</v>
      </c>
      <c r="G32" s="38" t="s">
        <v>556</v>
      </c>
      <c r="H32" s="38"/>
      <c r="I32" s="38"/>
      <c r="J32" s="188"/>
      <c r="N32" s="152"/>
      <c r="O32" s="76" t="s">
        <v>218</v>
      </c>
      <c r="P32" s="76" t="s">
        <v>251</v>
      </c>
      <c r="Q32" s="73"/>
      <c r="R32" s="73"/>
    </row>
    <row r="33" spans="2:18" ht="16" x14ac:dyDescent="0.2">
      <c r="B33" s="160"/>
      <c r="D33" s="163" t="s">
        <v>402</v>
      </c>
      <c r="E33" s="44" t="s">
        <v>278</v>
      </c>
      <c r="F33" s="44" t="s">
        <v>544</v>
      </c>
      <c r="G33" s="38"/>
      <c r="H33" s="38"/>
      <c r="I33" s="38"/>
      <c r="J33" s="188"/>
      <c r="N33" s="152" t="s">
        <v>402</v>
      </c>
      <c r="O33" s="76" t="s">
        <v>643</v>
      </c>
      <c r="P33" s="76" t="s">
        <v>644</v>
      </c>
      <c r="Q33" s="187" t="s">
        <v>639</v>
      </c>
      <c r="R33" s="73"/>
    </row>
    <row r="34" spans="2:18" ht="16" x14ac:dyDescent="0.2">
      <c r="B34" s="160"/>
      <c r="D34" s="164"/>
      <c r="E34" s="45" t="s">
        <v>545</v>
      </c>
      <c r="F34" s="45" t="s">
        <v>546</v>
      </c>
      <c r="G34" s="38"/>
      <c r="H34" s="38"/>
      <c r="I34" s="38"/>
      <c r="J34" s="188"/>
      <c r="N34" s="153"/>
      <c r="O34" s="77" t="s">
        <v>21</v>
      </c>
      <c r="P34" s="77" t="s">
        <v>58</v>
      </c>
      <c r="Q34" s="187"/>
      <c r="R34" s="73"/>
    </row>
    <row r="35" spans="2:18" ht="16" x14ac:dyDescent="0.2">
      <c r="B35" s="160"/>
      <c r="D35" s="46" t="s">
        <v>335</v>
      </c>
      <c r="E35" s="44" t="s">
        <v>336</v>
      </c>
      <c r="F35" s="44" t="s">
        <v>336</v>
      </c>
      <c r="G35" s="38"/>
      <c r="H35" s="38"/>
      <c r="I35" s="38"/>
      <c r="J35" s="188"/>
      <c r="N35" s="120" t="s">
        <v>335</v>
      </c>
      <c r="O35" s="76" t="s">
        <v>336</v>
      </c>
      <c r="P35" s="76" t="s">
        <v>336</v>
      </c>
      <c r="Q35" s="73"/>
      <c r="R35" s="73"/>
    </row>
    <row r="36" spans="2:18" ht="16" x14ac:dyDescent="0.2">
      <c r="B36" s="160"/>
      <c r="D36" s="46" t="s">
        <v>337</v>
      </c>
      <c r="E36" s="44" t="s">
        <v>336</v>
      </c>
      <c r="F36" s="44" t="s">
        <v>336</v>
      </c>
      <c r="G36" s="38"/>
      <c r="H36" s="38"/>
      <c r="I36" s="38"/>
      <c r="J36" s="188"/>
      <c r="N36" s="120" t="s">
        <v>337</v>
      </c>
      <c r="O36" s="76" t="s">
        <v>336</v>
      </c>
      <c r="P36" s="76" t="s">
        <v>336</v>
      </c>
      <c r="R36" s="73"/>
    </row>
    <row r="37" spans="2:18" ht="16" x14ac:dyDescent="0.2">
      <c r="B37" s="160"/>
      <c r="D37" s="46" t="s">
        <v>338</v>
      </c>
      <c r="E37" s="44" t="s">
        <v>336</v>
      </c>
      <c r="F37" s="44" t="s">
        <v>336</v>
      </c>
      <c r="G37" s="38"/>
      <c r="H37" s="38"/>
      <c r="I37" s="38"/>
      <c r="J37" s="188"/>
      <c r="N37" s="120" t="s">
        <v>338</v>
      </c>
      <c r="O37" s="76" t="s">
        <v>336</v>
      </c>
      <c r="P37" s="76" t="s">
        <v>336</v>
      </c>
      <c r="Q37" s="73"/>
      <c r="R37" s="73"/>
    </row>
    <row r="38" spans="2:18" ht="16" x14ac:dyDescent="0.2">
      <c r="B38" s="160"/>
      <c r="D38" s="47" t="s">
        <v>339</v>
      </c>
      <c r="E38" s="45" t="s">
        <v>549</v>
      </c>
      <c r="F38" s="45" t="s">
        <v>550</v>
      </c>
      <c r="J38" s="188"/>
      <c r="N38" s="121" t="s">
        <v>339</v>
      </c>
      <c r="O38" s="77" t="s">
        <v>647</v>
      </c>
      <c r="P38" s="77" t="s">
        <v>648</v>
      </c>
    </row>
    <row r="39" spans="2:18" ht="16" x14ac:dyDescent="0.2">
      <c r="B39" s="160"/>
      <c r="J39" s="188"/>
    </row>
    <row r="40" spans="2:18" ht="16" x14ac:dyDescent="0.2">
      <c r="B40" s="160"/>
      <c r="J40" s="188"/>
    </row>
    <row r="41" spans="2:18" ht="16" x14ac:dyDescent="0.2">
      <c r="B41" s="160"/>
      <c r="J41" s="188"/>
      <c r="N41" s="117"/>
      <c r="O41" s="74" t="s">
        <v>340</v>
      </c>
      <c r="P41" s="74" t="s">
        <v>341</v>
      </c>
    </row>
    <row r="42" spans="2:18" ht="16" x14ac:dyDescent="0.2">
      <c r="B42" s="160"/>
      <c r="J42" s="188"/>
      <c r="O42" s="118" t="s">
        <v>658</v>
      </c>
      <c r="P42" s="118" t="s">
        <v>659</v>
      </c>
    </row>
    <row r="43" spans="2:18" ht="16" x14ac:dyDescent="0.2">
      <c r="B43" s="160"/>
      <c r="J43" s="188"/>
      <c r="N43" s="119" t="s">
        <v>388</v>
      </c>
      <c r="O43" s="151" t="s">
        <v>400</v>
      </c>
      <c r="P43" s="151"/>
    </row>
    <row r="44" spans="2:18" ht="16" x14ac:dyDescent="0.2">
      <c r="B44" s="160"/>
      <c r="J44" s="188"/>
      <c r="N44" s="152" t="s">
        <v>334</v>
      </c>
      <c r="O44" s="76" t="s">
        <v>650</v>
      </c>
      <c r="P44" s="76" t="s">
        <v>649</v>
      </c>
      <c r="Q44" s="76"/>
    </row>
    <row r="45" spans="2:18" ht="16" x14ac:dyDescent="0.2">
      <c r="B45" s="160"/>
      <c r="J45" s="188"/>
      <c r="N45" s="152"/>
      <c r="O45" s="76" t="s">
        <v>651</v>
      </c>
      <c r="P45" s="76" t="s">
        <v>210</v>
      </c>
      <c r="Q45" s="76"/>
    </row>
    <row r="46" spans="2:18" ht="16" x14ac:dyDescent="0.2">
      <c r="B46" s="160"/>
      <c r="J46" s="188"/>
      <c r="N46" s="152" t="s">
        <v>401</v>
      </c>
      <c r="O46" s="76" t="s">
        <v>652</v>
      </c>
      <c r="P46" s="76" t="s">
        <v>154</v>
      </c>
      <c r="Q46" s="76"/>
    </row>
    <row r="47" spans="2:18" ht="16" x14ac:dyDescent="0.2">
      <c r="B47" s="160"/>
      <c r="J47" s="188"/>
      <c r="N47" s="152"/>
      <c r="O47" s="76" t="s">
        <v>28</v>
      </c>
      <c r="P47" s="76" t="s">
        <v>57</v>
      </c>
      <c r="Q47" s="76"/>
    </row>
    <row r="48" spans="2:18" ht="16" x14ac:dyDescent="0.2">
      <c r="B48" s="160"/>
      <c r="J48" s="188"/>
      <c r="N48" s="152" t="s">
        <v>402</v>
      </c>
      <c r="O48" s="76" t="s">
        <v>653</v>
      </c>
      <c r="P48" s="76" t="s">
        <v>654</v>
      </c>
      <c r="Q48" s="73" t="s">
        <v>638</v>
      </c>
      <c r="R48" s="73"/>
    </row>
    <row r="49" spans="2:18" ht="16" x14ac:dyDescent="0.2">
      <c r="B49" s="160"/>
      <c r="J49" s="188"/>
      <c r="N49" s="153"/>
      <c r="O49" s="77" t="s">
        <v>655</v>
      </c>
      <c r="P49" s="77" t="s">
        <v>30</v>
      </c>
    </row>
    <row r="50" spans="2:18" ht="16" x14ac:dyDescent="0.2">
      <c r="B50" s="160"/>
      <c r="J50" s="188"/>
      <c r="N50" s="120" t="s">
        <v>335</v>
      </c>
      <c r="O50" s="76" t="s">
        <v>336</v>
      </c>
      <c r="P50" s="76" t="s">
        <v>336</v>
      </c>
    </row>
    <row r="51" spans="2:18" ht="16" x14ac:dyDescent="0.2">
      <c r="B51" s="160"/>
      <c r="J51" s="188"/>
      <c r="N51" s="120" t="s">
        <v>337</v>
      </c>
      <c r="O51" s="76" t="s">
        <v>336</v>
      </c>
      <c r="P51" s="76" t="s">
        <v>336</v>
      </c>
    </row>
    <row r="52" spans="2:18" ht="16" x14ac:dyDescent="0.2">
      <c r="B52" s="160"/>
      <c r="J52" s="188"/>
      <c r="N52" s="120" t="s">
        <v>338</v>
      </c>
      <c r="O52" s="76" t="s">
        <v>336</v>
      </c>
      <c r="P52" s="76" t="s">
        <v>336</v>
      </c>
    </row>
    <row r="53" spans="2:18" ht="16" x14ac:dyDescent="0.2">
      <c r="B53" s="160"/>
      <c r="J53" s="188"/>
      <c r="N53" s="121" t="s">
        <v>339</v>
      </c>
      <c r="O53" s="77" t="s">
        <v>657</v>
      </c>
      <c r="P53" s="77" t="s">
        <v>656</v>
      </c>
      <c r="Q53" s="115"/>
    </row>
    <row r="54" spans="2:18" ht="16" x14ac:dyDescent="0.2">
      <c r="B54" s="160"/>
      <c r="J54" s="188"/>
    </row>
    <row r="55" spans="2:18" ht="16" x14ac:dyDescent="0.2">
      <c r="B55" s="160"/>
      <c r="J55" s="188"/>
    </row>
    <row r="56" spans="2:18" ht="16" x14ac:dyDescent="0.2">
      <c r="B56" s="160"/>
      <c r="J56" s="188"/>
    </row>
    <row r="57" spans="2:18" ht="16" x14ac:dyDescent="0.2">
      <c r="B57" s="160"/>
      <c r="J57" s="188"/>
    </row>
    <row r="58" spans="2:18" ht="16" x14ac:dyDescent="0.2">
      <c r="B58" s="160"/>
      <c r="J58" s="188"/>
    </row>
    <row r="59" spans="2:18" ht="16" x14ac:dyDescent="0.2">
      <c r="B59" s="160"/>
      <c r="J59" s="188"/>
    </row>
    <row r="60" spans="2:18" ht="23" customHeight="1" x14ac:dyDescent="0.2">
      <c r="B60" s="160" t="s">
        <v>463</v>
      </c>
      <c r="D60" s="40" t="s">
        <v>420</v>
      </c>
      <c r="M60" s="115"/>
      <c r="N60" s="115"/>
      <c r="O60" s="115"/>
      <c r="P60" s="115"/>
      <c r="Q60" s="115"/>
      <c r="R60" s="115"/>
    </row>
    <row r="61" spans="2:18" ht="22" customHeight="1" x14ac:dyDescent="0.2">
      <c r="B61" s="160"/>
      <c r="D61" s="155"/>
      <c r="E61" s="155" t="s">
        <v>404</v>
      </c>
      <c r="F61" s="155"/>
      <c r="G61" s="48" t="s">
        <v>405</v>
      </c>
      <c r="H61" s="48" t="s">
        <v>406</v>
      </c>
      <c r="I61" s="48" t="s">
        <v>407</v>
      </c>
      <c r="M61" s="115"/>
      <c r="N61" s="115"/>
      <c r="O61" s="115"/>
      <c r="P61" s="115"/>
      <c r="Q61" s="115"/>
      <c r="R61" s="115"/>
    </row>
    <row r="62" spans="2:18" ht="22" customHeight="1" x14ac:dyDescent="0.2">
      <c r="B62" s="160"/>
      <c r="D62" s="156"/>
      <c r="E62" s="50" t="s">
        <v>340</v>
      </c>
      <c r="F62" s="50" t="s">
        <v>341</v>
      </c>
      <c r="G62" s="50" t="s">
        <v>342</v>
      </c>
      <c r="H62" s="51" t="s">
        <v>343</v>
      </c>
      <c r="I62" s="51" t="s">
        <v>419</v>
      </c>
      <c r="M62" s="115"/>
      <c r="N62" s="115"/>
      <c r="O62" s="115"/>
      <c r="P62" s="115"/>
      <c r="Q62" s="115"/>
      <c r="R62" s="115"/>
    </row>
    <row r="63" spans="2:18" ht="26" customHeight="1" x14ac:dyDescent="0.2">
      <c r="B63" s="160"/>
      <c r="D63" s="156"/>
      <c r="E63" s="157" t="s">
        <v>408</v>
      </c>
      <c r="F63" s="157"/>
      <c r="G63" s="157" t="s">
        <v>409</v>
      </c>
      <c r="H63" s="157"/>
      <c r="I63" s="157"/>
      <c r="M63" s="115"/>
      <c r="N63" s="115"/>
      <c r="O63" s="115"/>
      <c r="P63" s="115"/>
      <c r="Q63" s="115"/>
      <c r="R63" s="115"/>
    </row>
    <row r="64" spans="2:18" ht="22" customHeight="1" x14ac:dyDescent="0.2">
      <c r="B64" s="160"/>
      <c r="D64" s="154" t="s">
        <v>403</v>
      </c>
      <c r="E64" s="49" t="s">
        <v>6</v>
      </c>
      <c r="F64" s="49" t="s">
        <v>410</v>
      </c>
      <c r="G64" s="49" t="s">
        <v>411</v>
      </c>
      <c r="H64" s="49" t="s">
        <v>411</v>
      </c>
      <c r="I64" s="49" t="s">
        <v>411</v>
      </c>
      <c r="M64" s="115"/>
      <c r="N64" s="115"/>
      <c r="O64" s="115"/>
      <c r="P64" s="115"/>
      <c r="Q64" s="115"/>
      <c r="R64" s="115"/>
    </row>
    <row r="65" spans="2:18" ht="22" customHeight="1" x14ac:dyDescent="0.2">
      <c r="B65" s="160"/>
      <c r="D65" s="154"/>
      <c r="E65" s="44" t="s">
        <v>16</v>
      </c>
      <c r="F65" s="44" t="s">
        <v>213</v>
      </c>
      <c r="G65" s="44" t="s">
        <v>455</v>
      </c>
      <c r="H65" s="44" t="s">
        <v>457</v>
      </c>
      <c r="I65" s="44" t="s">
        <v>457</v>
      </c>
      <c r="M65" s="115"/>
      <c r="N65" s="115"/>
      <c r="O65" s="115"/>
      <c r="P65" s="115"/>
      <c r="Q65" s="115"/>
      <c r="R65" s="115"/>
    </row>
    <row r="66" spans="2:18" ht="22" customHeight="1" x14ac:dyDescent="0.2">
      <c r="B66" s="160"/>
      <c r="D66" s="53" t="s">
        <v>412</v>
      </c>
      <c r="E66" s="50" t="s">
        <v>336</v>
      </c>
      <c r="F66" s="50" t="s">
        <v>336</v>
      </c>
      <c r="G66" s="50" t="s">
        <v>336</v>
      </c>
      <c r="H66" s="50" t="s">
        <v>336</v>
      </c>
      <c r="I66" s="50" t="s">
        <v>336</v>
      </c>
      <c r="M66" s="115"/>
      <c r="N66" s="115"/>
      <c r="O66" s="115"/>
      <c r="P66" s="115"/>
      <c r="Q66" s="115"/>
      <c r="R66" s="115"/>
    </row>
    <row r="67" spans="2:18" ht="22" customHeight="1" x14ac:dyDescent="0.2">
      <c r="B67" s="160"/>
      <c r="D67" s="53" t="s">
        <v>338</v>
      </c>
      <c r="E67" s="50" t="s">
        <v>336</v>
      </c>
      <c r="F67" s="50" t="s">
        <v>336</v>
      </c>
      <c r="G67" s="50" t="s">
        <v>336</v>
      </c>
      <c r="H67" s="50" t="s">
        <v>336</v>
      </c>
      <c r="I67" s="50" t="s">
        <v>336</v>
      </c>
      <c r="M67" s="115"/>
      <c r="N67" s="115"/>
      <c r="O67" s="115"/>
      <c r="P67" s="115"/>
      <c r="Q67" s="115"/>
      <c r="R67" s="115"/>
    </row>
    <row r="68" spans="2:18" ht="22" customHeight="1" x14ac:dyDescent="0.2">
      <c r="B68" s="160"/>
      <c r="D68" s="54" t="s">
        <v>413</v>
      </c>
      <c r="E68" s="55"/>
      <c r="F68" s="56" t="s">
        <v>336</v>
      </c>
      <c r="G68" s="55"/>
      <c r="H68" s="55"/>
      <c r="I68" s="55"/>
      <c r="M68" s="115"/>
      <c r="N68" s="115"/>
      <c r="O68" s="115"/>
      <c r="P68" s="115"/>
      <c r="Q68" s="115"/>
      <c r="R68" s="115"/>
    </row>
    <row r="69" spans="2:18" ht="22" customHeight="1" x14ac:dyDescent="0.2">
      <c r="B69" s="160"/>
      <c r="D69" s="57" t="s">
        <v>339</v>
      </c>
      <c r="E69" s="58">
        <v>3613</v>
      </c>
      <c r="F69" s="58">
        <v>3613</v>
      </c>
      <c r="G69" s="58">
        <v>3613</v>
      </c>
      <c r="H69" s="58">
        <v>3613</v>
      </c>
      <c r="I69" s="58">
        <v>3613</v>
      </c>
      <c r="M69" s="115"/>
      <c r="N69" s="115"/>
      <c r="O69" s="115"/>
      <c r="P69" s="115"/>
      <c r="Q69" s="115"/>
      <c r="R69" s="115"/>
    </row>
    <row r="70" spans="2:18" ht="22" customHeight="1" x14ac:dyDescent="0.2">
      <c r="B70" s="160"/>
      <c r="D70" s="57" t="s">
        <v>414</v>
      </c>
      <c r="E70" s="59"/>
      <c r="F70" s="49">
        <v>2730.402</v>
      </c>
      <c r="G70" s="59"/>
      <c r="H70" s="49">
        <v>10115.514999999999</v>
      </c>
      <c r="I70" s="49">
        <v>10117.514999999999</v>
      </c>
      <c r="M70" s="115"/>
      <c r="N70" s="115"/>
      <c r="O70" s="115"/>
      <c r="P70" s="115"/>
      <c r="Q70" s="115"/>
      <c r="R70" s="115"/>
    </row>
    <row r="71" spans="2:18" ht="22" customHeight="1" x14ac:dyDescent="0.2">
      <c r="B71" s="160"/>
      <c r="D71" s="57" t="s">
        <v>415</v>
      </c>
      <c r="E71" s="59"/>
      <c r="F71" s="49">
        <v>3900.7449999999999</v>
      </c>
      <c r="G71" s="59"/>
      <c r="H71" s="59"/>
      <c r="I71" s="59"/>
      <c r="M71" s="115"/>
      <c r="N71" s="115"/>
      <c r="O71" s="115"/>
      <c r="P71" s="115"/>
      <c r="Q71" s="115"/>
      <c r="R71" s="115"/>
    </row>
    <row r="72" spans="2:18" ht="22" customHeight="1" x14ac:dyDescent="0.2">
      <c r="B72" s="160"/>
      <c r="D72" s="57" t="s">
        <v>416</v>
      </c>
      <c r="E72" s="59"/>
      <c r="F72" s="49">
        <v>-1176.201</v>
      </c>
      <c r="G72" s="49">
        <v>-4869.7579999999998</v>
      </c>
      <c r="H72" s="49">
        <v>-4869.7579999999998</v>
      </c>
      <c r="I72" s="49">
        <v>-4869.7579999999998</v>
      </c>
      <c r="M72" s="115"/>
      <c r="N72" s="115"/>
      <c r="O72" s="115"/>
      <c r="P72" s="115"/>
      <c r="Q72" s="115"/>
      <c r="R72" s="115"/>
    </row>
    <row r="73" spans="2:18" ht="22" customHeight="1" x14ac:dyDescent="0.2">
      <c r="B73" s="160"/>
      <c r="D73" s="57" t="s">
        <v>417</v>
      </c>
      <c r="E73" s="59"/>
      <c r="F73" s="59"/>
      <c r="G73" s="49">
        <v>3545.797</v>
      </c>
      <c r="H73" s="59"/>
      <c r="I73" s="59"/>
      <c r="M73" s="115"/>
      <c r="N73" s="115"/>
      <c r="O73" s="115"/>
      <c r="P73" s="115"/>
      <c r="Q73" s="115"/>
      <c r="R73" s="115"/>
    </row>
    <row r="74" spans="2:18" ht="22" customHeight="1" x14ac:dyDescent="0.2">
      <c r="B74" s="160"/>
      <c r="D74" s="54" t="s">
        <v>418</v>
      </c>
      <c r="E74" s="55"/>
      <c r="F74" s="55"/>
      <c r="G74" s="55">
        <v>1.4E-2</v>
      </c>
      <c r="H74" s="55"/>
      <c r="I74" s="55"/>
      <c r="M74" s="115"/>
      <c r="N74" s="115"/>
      <c r="O74" s="115"/>
      <c r="P74" s="115"/>
      <c r="Q74" s="115"/>
      <c r="R74" s="115"/>
    </row>
    <row r="75" spans="2:18" ht="22" customHeight="1" x14ac:dyDescent="0.2">
      <c r="B75" s="160"/>
      <c r="D75" s="57"/>
      <c r="E75" s="49"/>
      <c r="F75" s="49"/>
      <c r="G75" s="49"/>
      <c r="H75" s="49"/>
      <c r="I75" s="49"/>
    </row>
    <row r="76" spans="2:18" ht="22" customHeight="1" x14ac:dyDescent="0.2">
      <c r="B76" s="160"/>
      <c r="D76" s="57"/>
      <c r="E76" s="49"/>
      <c r="F76" s="49"/>
      <c r="G76" s="49"/>
      <c r="H76" s="49"/>
      <c r="I76" s="49"/>
    </row>
    <row r="77" spans="2:18" ht="22" customHeight="1" x14ac:dyDescent="0.2">
      <c r="B77" s="160"/>
    </row>
    <row r="78" spans="2:18" ht="22" customHeight="1" x14ac:dyDescent="0.2">
      <c r="B78" s="160"/>
      <c r="D78" s="60" t="s">
        <v>435</v>
      </c>
    </row>
    <row r="79" spans="2:18" ht="22" customHeight="1" x14ac:dyDescent="0.2">
      <c r="B79" s="160"/>
      <c r="D79" s="155"/>
      <c r="E79" s="42" t="s">
        <v>340</v>
      </c>
      <c r="F79" s="42" t="s">
        <v>341</v>
      </c>
      <c r="G79" s="42" t="s">
        <v>342</v>
      </c>
      <c r="H79" s="42" t="s">
        <v>343</v>
      </c>
      <c r="I79" s="42" t="s">
        <v>419</v>
      </c>
      <c r="J79" s="42" t="s">
        <v>433</v>
      </c>
      <c r="K79" s="42" t="s">
        <v>434</v>
      </c>
    </row>
    <row r="80" spans="2:18" ht="22" customHeight="1" x14ac:dyDescent="0.2">
      <c r="B80" s="160"/>
      <c r="D80" s="156"/>
      <c r="E80" s="137" t="s">
        <v>422</v>
      </c>
      <c r="F80" s="137" t="s">
        <v>423</v>
      </c>
      <c r="G80" s="137"/>
      <c r="H80" s="137"/>
      <c r="I80" s="137" t="s">
        <v>424</v>
      </c>
      <c r="J80" s="137"/>
      <c r="K80" s="137"/>
    </row>
    <row r="81" spans="2:13" ht="22" customHeight="1" x14ac:dyDescent="0.2">
      <c r="B81" s="160"/>
      <c r="D81" s="156"/>
      <c r="E81" s="157"/>
      <c r="F81" s="52" t="s">
        <v>425</v>
      </c>
      <c r="G81" s="52" t="s">
        <v>426</v>
      </c>
      <c r="H81" s="52" t="s">
        <v>427</v>
      </c>
      <c r="I81" s="61"/>
      <c r="J81" s="61"/>
      <c r="K81" s="61"/>
    </row>
    <row r="82" spans="2:13" ht="22" customHeight="1" x14ac:dyDescent="0.2">
      <c r="B82" s="160"/>
      <c r="D82" s="154" t="s">
        <v>403</v>
      </c>
      <c r="E82" s="49" t="s">
        <v>428</v>
      </c>
      <c r="F82" s="49" t="s">
        <v>429</v>
      </c>
      <c r="G82" s="49" t="s">
        <v>6</v>
      </c>
      <c r="H82" s="49" t="s">
        <v>430</v>
      </c>
      <c r="I82" s="49">
        <v>-2.5999999999999999E-2</v>
      </c>
      <c r="J82" s="49" t="s">
        <v>431</v>
      </c>
      <c r="K82" s="49" t="s">
        <v>432</v>
      </c>
    </row>
    <row r="83" spans="2:13" ht="22" customHeight="1" x14ac:dyDescent="0.2">
      <c r="B83" s="160"/>
      <c r="D83" s="161"/>
      <c r="E83" s="45" t="s">
        <v>29</v>
      </c>
      <c r="F83" s="45" t="s">
        <v>16</v>
      </c>
      <c r="G83" s="45" t="s">
        <v>16</v>
      </c>
      <c r="H83" s="45" t="s">
        <v>16</v>
      </c>
      <c r="I83" s="45" t="s">
        <v>298</v>
      </c>
      <c r="J83" s="45" t="s">
        <v>28</v>
      </c>
      <c r="K83" s="45" t="s">
        <v>456</v>
      </c>
    </row>
    <row r="84" spans="2:13" ht="22" customHeight="1" x14ac:dyDescent="0.2">
      <c r="B84" s="160"/>
      <c r="D84" s="62" t="s">
        <v>338</v>
      </c>
      <c r="E84" s="48" t="s">
        <v>336</v>
      </c>
      <c r="F84" s="48" t="s">
        <v>336</v>
      </c>
      <c r="G84" s="48" t="s">
        <v>336</v>
      </c>
      <c r="H84" s="48" t="s">
        <v>336</v>
      </c>
      <c r="I84" s="48" t="s">
        <v>336</v>
      </c>
      <c r="J84" s="48" t="s">
        <v>336</v>
      </c>
      <c r="K84" s="48" t="s">
        <v>336</v>
      </c>
    </row>
    <row r="85" spans="2:13" ht="22" customHeight="1" x14ac:dyDescent="0.2">
      <c r="B85" s="160"/>
      <c r="D85" s="63" t="s">
        <v>412</v>
      </c>
      <c r="E85" s="55" t="s">
        <v>336</v>
      </c>
      <c r="F85" s="55" t="s">
        <v>336</v>
      </c>
      <c r="G85" s="55" t="s">
        <v>336</v>
      </c>
      <c r="H85" s="55" t="s">
        <v>336</v>
      </c>
      <c r="I85" s="55" t="s">
        <v>336</v>
      </c>
      <c r="J85" s="55" t="s">
        <v>336</v>
      </c>
      <c r="K85" s="55" t="s">
        <v>336</v>
      </c>
    </row>
    <row r="86" spans="2:13" ht="22" customHeight="1" x14ac:dyDescent="0.2">
      <c r="B86" s="160"/>
      <c r="D86" s="63" t="s">
        <v>339</v>
      </c>
      <c r="E86" s="64">
        <v>3613</v>
      </c>
      <c r="F86" s="64">
        <v>3613</v>
      </c>
      <c r="G86" s="64">
        <v>3613</v>
      </c>
      <c r="H86" s="64">
        <v>3613</v>
      </c>
      <c r="I86" s="55">
        <v>838</v>
      </c>
      <c r="J86" s="65">
        <v>1607</v>
      </c>
      <c r="K86" s="65">
        <v>2413</v>
      </c>
    </row>
    <row r="87" spans="2:13" ht="22" customHeight="1" x14ac:dyDescent="0.2">
      <c r="B87" s="160"/>
    </row>
    <row r="88" spans="2:13" ht="22" customHeight="1" x14ac:dyDescent="0.2">
      <c r="B88" s="160"/>
    </row>
    <row r="89" spans="2:13" ht="22" customHeight="1" x14ac:dyDescent="0.2">
      <c r="B89" s="160"/>
    </row>
    <row r="90" spans="2:13" ht="22" customHeight="1" x14ac:dyDescent="0.2">
      <c r="B90" s="160"/>
      <c r="K90" s="60" t="s">
        <v>448</v>
      </c>
    </row>
    <row r="91" spans="2:13" ht="22" customHeight="1" x14ac:dyDescent="0.2">
      <c r="B91" s="160"/>
      <c r="K91" s="66"/>
      <c r="L91" s="42" t="s">
        <v>340</v>
      </c>
      <c r="M91" s="74" t="s">
        <v>341</v>
      </c>
    </row>
    <row r="92" spans="2:13" ht="22" customHeight="1" x14ac:dyDescent="0.2">
      <c r="B92" s="160"/>
      <c r="K92" s="50"/>
      <c r="L92" s="56" t="s">
        <v>436</v>
      </c>
      <c r="M92" s="80" t="s">
        <v>440</v>
      </c>
    </row>
    <row r="93" spans="2:13" ht="22" customHeight="1" x14ac:dyDescent="0.2">
      <c r="B93" s="160"/>
      <c r="K93" s="138" t="s">
        <v>438</v>
      </c>
      <c r="L93" s="50">
        <v>-2.1999999999999999E-2</v>
      </c>
      <c r="M93" s="78">
        <v>-1.6E-2</v>
      </c>
    </row>
    <row r="94" spans="2:13" ht="22" customHeight="1" x14ac:dyDescent="0.2">
      <c r="B94" s="160"/>
      <c r="K94" s="139"/>
      <c r="L94" s="67" t="s">
        <v>224</v>
      </c>
      <c r="M94" s="81" t="s">
        <v>455</v>
      </c>
    </row>
    <row r="95" spans="2:13" ht="22" customHeight="1" x14ac:dyDescent="0.2">
      <c r="B95" s="160"/>
      <c r="K95" s="53" t="s">
        <v>439</v>
      </c>
      <c r="L95" s="50" t="s">
        <v>336</v>
      </c>
      <c r="M95" s="78" t="s">
        <v>336</v>
      </c>
    </row>
    <row r="96" spans="2:13" ht="22" customHeight="1" x14ac:dyDescent="0.2">
      <c r="B96" s="160"/>
      <c r="K96" s="63" t="s">
        <v>412</v>
      </c>
      <c r="L96" s="56" t="s">
        <v>336</v>
      </c>
      <c r="M96" s="80" t="s">
        <v>336</v>
      </c>
    </row>
    <row r="97" spans="2:15" ht="22" customHeight="1" x14ac:dyDescent="0.2">
      <c r="B97" s="160"/>
      <c r="K97" s="63" t="s">
        <v>339</v>
      </c>
      <c r="L97" s="64">
        <v>5984</v>
      </c>
      <c r="M97" s="79">
        <v>8961</v>
      </c>
    </row>
    <row r="98" spans="2:15" ht="22" customHeight="1" x14ac:dyDescent="0.2">
      <c r="B98" s="160"/>
    </row>
    <row r="99" spans="2:15" ht="22" customHeight="1" x14ac:dyDescent="0.2">
      <c r="B99" s="160"/>
    </row>
    <row r="100" spans="2:15" ht="22" customHeight="1" x14ac:dyDescent="0.2">
      <c r="B100" s="160"/>
    </row>
    <row r="101" spans="2:15" ht="22" customHeight="1" x14ac:dyDescent="0.2">
      <c r="B101" s="160"/>
      <c r="J101" s="60" t="s">
        <v>441</v>
      </c>
    </row>
    <row r="102" spans="2:15" ht="22" customHeight="1" x14ac:dyDescent="0.2">
      <c r="B102" s="160"/>
      <c r="J102" s="140"/>
      <c r="K102" s="142" t="s">
        <v>442</v>
      </c>
      <c r="L102" s="142" t="s">
        <v>446</v>
      </c>
      <c r="M102" s="145" t="s">
        <v>447</v>
      </c>
      <c r="N102" s="145" t="s">
        <v>443</v>
      </c>
      <c r="O102" s="145" t="s">
        <v>444</v>
      </c>
    </row>
    <row r="103" spans="2:15" ht="22" customHeight="1" x14ac:dyDescent="0.2">
      <c r="B103" s="160"/>
      <c r="J103" s="141"/>
      <c r="K103" s="143"/>
      <c r="L103" s="143"/>
      <c r="M103" s="146"/>
      <c r="N103" s="146"/>
      <c r="O103" s="146"/>
    </row>
    <row r="104" spans="2:15" ht="22" customHeight="1" x14ac:dyDescent="0.2">
      <c r="B104" s="160"/>
      <c r="J104" s="69" t="s">
        <v>445</v>
      </c>
      <c r="K104" s="70">
        <v>-4.5999999999999999E-2</v>
      </c>
      <c r="L104" s="70">
        <v>9.2999999999999999E-2</v>
      </c>
      <c r="M104" s="83">
        <v>0.121</v>
      </c>
      <c r="N104" s="83">
        <v>-4.4999999999999998E-2</v>
      </c>
      <c r="O104" s="83">
        <v>39.719000000000001</v>
      </c>
    </row>
    <row r="105" spans="2:15" ht="22" customHeight="1" x14ac:dyDescent="0.2">
      <c r="B105" s="160"/>
      <c r="J105" s="71" t="s">
        <v>437</v>
      </c>
      <c r="K105" s="68">
        <v>-4.5999999999999999E-2</v>
      </c>
      <c r="L105" s="68">
        <v>3.3000000000000002E-2</v>
      </c>
      <c r="M105" s="82">
        <v>4.2999999999999997E-2</v>
      </c>
      <c r="N105" s="82">
        <v>-4.3999999999999997E-2</v>
      </c>
      <c r="O105" s="82">
        <v>26.744</v>
      </c>
    </row>
    <row r="106" spans="2:15" ht="22" customHeight="1" x14ac:dyDescent="0.2">
      <c r="B106" s="160"/>
    </row>
    <row r="107" spans="2:15" ht="22" customHeight="1" x14ac:dyDescent="0.2">
      <c r="B107" s="160"/>
    </row>
  </sheetData>
  <mergeCells count="43">
    <mergeCell ref="J9:J10"/>
    <mergeCell ref="C2:L2"/>
    <mergeCell ref="M2:R2"/>
    <mergeCell ref="K6:L6"/>
    <mergeCell ref="M6:N6"/>
    <mergeCell ref="J7:J8"/>
    <mergeCell ref="J11:J12"/>
    <mergeCell ref="D61:D63"/>
    <mergeCell ref="E61:F61"/>
    <mergeCell ref="E63:F63"/>
    <mergeCell ref="G63:I63"/>
    <mergeCell ref="D64:D65"/>
    <mergeCell ref="D79:D81"/>
    <mergeCell ref="E80:E81"/>
    <mergeCell ref="F80:H80"/>
    <mergeCell ref="B3:B23"/>
    <mergeCell ref="B24:B59"/>
    <mergeCell ref="B60:B107"/>
    <mergeCell ref="D82:D83"/>
    <mergeCell ref="E28:F28"/>
    <mergeCell ref="D29:D30"/>
    <mergeCell ref="D31:D32"/>
    <mergeCell ref="D33:D34"/>
    <mergeCell ref="S2:AA2"/>
    <mergeCell ref="M102:M103"/>
    <mergeCell ref="N102:N103"/>
    <mergeCell ref="O102:O103"/>
    <mergeCell ref="T6:T7"/>
    <mergeCell ref="U6:W6"/>
    <mergeCell ref="T8:T9"/>
    <mergeCell ref="O28:P28"/>
    <mergeCell ref="N29:N30"/>
    <mergeCell ref="N31:N32"/>
    <mergeCell ref="N33:N34"/>
    <mergeCell ref="O43:P43"/>
    <mergeCell ref="N44:N45"/>
    <mergeCell ref="N46:N47"/>
    <mergeCell ref="N48:N49"/>
    <mergeCell ref="I80:K80"/>
    <mergeCell ref="K93:K94"/>
    <mergeCell ref="J102:J103"/>
    <mergeCell ref="K102:K103"/>
    <mergeCell ref="L102:L103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23D-B2F5-BD40-8E81-C2419FFBC224}">
  <dimension ref="B2:I21"/>
  <sheetViews>
    <sheetView zoomScale="120" zoomScaleNormal="120" workbookViewId="0">
      <selection activeCell="I28" sqref="I28"/>
    </sheetView>
  </sheetViews>
  <sheetFormatPr baseColWidth="10" defaultRowHeight="16" x14ac:dyDescent="0.2"/>
  <cols>
    <col min="2" max="2" width="20.1640625" customWidth="1"/>
    <col min="5" max="5" width="13.6640625" bestFit="1" customWidth="1"/>
    <col min="6" max="6" width="13.5" bestFit="1" customWidth="1"/>
    <col min="7" max="7" width="19.83203125" bestFit="1" customWidth="1"/>
    <col min="8" max="8" width="13.5" customWidth="1"/>
    <col min="9" max="9" width="55" customWidth="1"/>
  </cols>
  <sheetData>
    <row r="2" spans="2:9" x14ac:dyDescent="0.2">
      <c r="B2" s="110" t="s">
        <v>485</v>
      </c>
      <c r="C2" s="110" t="s">
        <v>486</v>
      </c>
      <c r="D2" s="110" t="s">
        <v>487</v>
      </c>
      <c r="E2" s="110" t="s">
        <v>488</v>
      </c>
      <c r="F2" s="110" t="s">
        <v>489</v>
      </c>
      <c r="G2" s="110" t="s">
        <v>490</v>
      </c>
      <c r="H2" s="110" t="s">
        <v>491</v>
      </c>
      <c r="I2" s="110" t="s">
        <v>492</v>
      </c>
    </row>
    <row r="3" spans="2:9" x14ac:dyDescent="0.2">
      <c r="B3" s="169" t="s">
        <v>493</v>
      </c>
      <c r="C3" s="168" t="s">
        <v>494</v>
      </c>
      <c r="D3" s="168" t="s">
        <v>495</v>
      </c>
      <c r="E3" s="168" t="s">
        <v>496</v>
      </c>
      <c r="F3" s="168" t="s">
        <v>497</v>
      </c>
      <c r="G3" s="168" t="s">
        <v>498</v>
      </c>
      <c r="H3" s="168" t="s">
        <v>499</v>
      </c>
      <c r="I3" s="107" t="s">
        <v>529</v>
      </c>
    </row>
    <row r="4" spans="2:9" x14ac:dyDescent="0.2">
      <c r="B4" s="169"/>
      <c r="C4" s="168"/>
      <c r="D4" s="168"/>
      <c r="E4" s="168"/>
      <c r="F4" s="168"/>
      <c r="G4" s="168"/>
      <c r="H4" s="168"/>
      <c r="I4" s="107" t="s">
        <v>500</v>
      </c>
    </row>
    <row r="5" spans="2:9" x14ac:dyDescent="0.2">
      <c r="B5" s="108" t="s">
        <v>501</v>
      </c>
      <c r="C5" s="109" t="s">
        <v>494</v>
      </c>
      <c r="D5" s="109" t="s">
        <v>495</v>
      </c>
      <c r="E5" s="109" t="s">
        <v>502</v>
      </c>
      <c r="F5" s="109" t="s">
        <v>497</v>
      </c>
      <c r="G5" s="109" t="s">
        <v>503</v>
      </c>
      <c r="H5" s="109" t="s">
        <v>504</v>
      </c>
      <c r="I5" s="107" t="s">
        <v>505</v>
      </c>
    </row>
    <row r="6" spans="2:9" x14ac:dyDescent="0.2">
      <c r="B6" s="108" t="s">
        <v>506</v>
      </c>
      <c r="C6" s="109" t="s">
        <v>494</v>
      </c>
      <c r="D6" s="109" t="s">
        <v>495</v>
      </c>
      <c r="E6" s="109" t="s">
        <v>502</v>
      </c>
      <c r="F6" s="109" t="s">
        <v>497</v>
      </c>
      <c r="G6" s="109" t="s">
        <v>503</v>
      </c>
      <c r="H6" s="109" t="s">
        <v>504</v>
      </c>
      <c r="I6" s="107" t="s">
        <v>505</v>
      </c>
    </row>
    <row r="7" spans="2:9" x14ac:dyDescent="0.2">
      <c r="B7" s="108" t="s">
        <v>507</v>
      </c>
      <c r="C7" s="109" t="s">
        <v>508</v>
      </c>
      <c r="D7" s="109" t="s">
        <v>495</v>
      </c>
      <c r="E7" s="109" t="s">
        <v>502</v>
      </c>
      <c r="F7" s="109" t="s">
        <v>497</v>
      </c>
      <c r="G7" s="109" t="s">
        <v>503</v>
      </c>
      <c r="H7" s="109" t="s">
        <v>504</v>
      </c>
      <c r="I7" s="107" t="s">
        <v>505</v>
      </c>
    </row>
    <row r="8" spans="2:9" x14ac:dyDescent="0.2">
      <c r="B8" s="169" t="s">
        <v>509</v>
      </c>
      <c r="C8" s="168" t="s">
        <v>508</v>
      </c>
      <c r="D8" s="168" t="s">
        <v>495</v>
      </c>
      <c r="E8" s="168" t="s">
        <v>502</v>
      </c>
      <c r="F8" s="168" t="s">
        <v>497</v>
      </c>
      <c r="G8" s="168" t="s">
        <v>510</v>
      </c>
      <c r="H8" s="168" t="s">
        <v>511</v>
      </c>
      <c r="I8" s="107" t="s">
        <v>530</v>
      </c>
    </row>
    <row r="9" spans="2:9" x14ac:dyDescent="0.2">
      <c r="B9" s="169"/>
      <c r="C9" s="168"/>
      <c r="D9" s="168"/>
      <c r="E9" s="168"/>
      <c r="F9" s="168"/>
      <c r="G9" s="168"/>
      <c r="H9" s="168"/>
      <c r="I9" s="107" t="s">
        <v>531</v>
      </c>
    </row>
    <row r="10" spans="2:9" x14ac:dyDescent="0.2">
      <c r="B10" s="169"/>
      <c r="C10" s="168"/>
      <c r="D10" s="168"/>
      <c r="E10" s="168"/>
      <c r="F10" s="168"/>
      <c r="G10" s="168"/>
      <c r="H10" s="168"/>
      <c r="I10" s="107" t="s">
        <v>512</v>
      </c>
    </row>
    <row r="11" spans="2:9" x14ac:dyDescent="0.2">
      <c r="B11" s="108" t="s">
        <v>513</v>
      </c>
      <c r="C11" s="109" t="s">
        <v>494</v>
      </c>
      <c r="D11" s="109" t="s">
        <v>495</v>
      </c>
      <c r="E11" s="109" t="s">
        <v>502</v>
      </c>
      <c r="F11" s="109" t="s">
        <v>497</v>
      </c>
      <c r="G11" s="109" t="s">
        <v>514</v>
      </c>
      <c r="H11" s="109" t="s">
        <v>515</v>
      </c>
      <c r="I11" s="107" t="s">
        <v>528</v>
      </c>
    </row>
    <row r="12" spans="2:9" x14ac:dyDescent="0.2">
      <c r="B12" s="108" t="s">
        <v>516</v>
      </c>
      <c r="C12" s="109" t="s">
        <v>517</v>
      </c>
      <c r="D12" s="109" t="s">
        <v>518</v>
      </c>
      <c r="E12" s="109" t="s">
        <v>502</v>
      </c>
      <c r="F12" s="109" t="s">
        <v>497</v>
      </c>
      <c r="G12" s="109" t="s">
        <v>514</v>
      </c>
      <c r="H12" s="109" t="s">
        <v>519</v>
      </c>
      <c r="I12" s="107" t="s">
        <v>533</v>
      </c>
    </row>
    <row r="13" spans="2:9" x14ac:dyDescent="0.2">
      <c r="B13" s="108" t="s">
        <v>520</v>
      </c>
      <c r="C13" s="109" t="s">
        <v>494</v>
      </c>
      <c r="D13" s="109" t="s">
        <v>495</v>
      </c>
      <c r="E13" s="109" t="s">
        <v>502</v>
      </c>
      <c r="F13" s="109" t="s">
        <v>497</v>
      </c>
      <c r="G13" s="109" t="s">
        <v>503</v>
      </c>
      <c r="H13" s="109" t="s">
        <v>521</v>
      </c>
      <c r="I13" s="107" t="s">
        <v>532</v>
      </c>
    </row>
    <row r="14" spans="2:9" x14ac:dyDescent="0.2">
      <c r="B14" s="169" t="s">
        <v>522</v>
      </c>
      <c r="C14" s="168" t="s">
        <v>508</v>
      </c>
      <c r="D14" s="168" t="s">
        <v>495</v>
      </c>
      <c r="E14" s="168" t="s">
        <v>502</v>
      </c>
      <c r="F14" s="168" t="s">
        <v>497</v>
      </c>
      <c r="G14" s="168" t="s">
        <v>498</v>
      </c>
      <c r="H14" s="168" t="s">
        <v>515</v>
      </c>
      <c r="I14" s="107" t="s">
        <v>523</v>
      </c>
    </row>
    <row r="15" spans="2:9" x14ac:dyDescent="0.2">
      <c r="B15" s="169"/>
      <c r="C15" s="168"/>
      <c r="D15" s="168"/>
      <c r="E15" s="168"/>
      <c r="F15" s="168"/>
      <c r="G15" s="168"/>
      <c r="H15" s="168"/>
      <c r="I15" s="107" t="s">
        <v>524</v>
      </c>
    </row>
    <row r="16" spans="2:9" x14ac:dyDescent="0.2">
      <c r="B16" s="169" t="s">
        <v>525</v>
      </c>
      <c r="C16" s="168" t="s">
        <v>508</v>
      </c>
      <c r="D16" s="168" t="s">
        <v>495</v>
      </c>
      <c r="E16" s="168" t="s">
        <v>496</v>
      </c>
      <c r="F16" s="168" t="s">
        <v>497</v>
      </c>
      <c r="G16" s="168" t="s">
        <v>510</v>
      </c>
      <c r="H16" s="168" t="s">
        <v>504</v>
      </c>
      <c r="I16" s="107" t="s">
        <v>526</v>
      </c>
    </row>
    <row r="17" spans="2:9" x14ac:dyDescent="0.2">
      <c r="B17" s="169"/>
      <c r="C17" s="168"/>
      <c r="D17" s="168"/>
      <c r="E17" s="168"/>
      <c r="F17" s="168"/>
      <c r="G17" s="168"/>
      <c r="H17" s="168"/>
      <c r="I17" s="107" t="s">
        <v>534</v>
      </c>
    </row>
    <row r="18" spans="2:9" x14ac:dyDescent="0.2">
      <c r="B18" s="169"/>
      <c r="C18" s="168"/>
      <c r="D18" s="168"/>
      <c r="E18" s="168"/>
      <c r="F18" s="168"/>
      <c r="G18" s="168"/>
      <c r="H18" s="168"/>
      <c r="I18" s="107" t="s">
        <v>527</v>
      </c>
    </row>
    <row r="19" spans="2:9" x14ac:dyDescent="0.2">
      <c r="B19" s="170" t="s">
        <v>520</v>
      </c>
      <c r="C19" s="167" t="s">
        <v>494</v>
      </c>
      <c r="D19" s="167" t="s">
        <v>495</v>
      </c>
      <c r="E19" s="167" t="s">
        <v>502</v>
      </c>
      <c r="F19" s="167" t="s">
        <v>497</v>
      </c>
      <c r="G19" s="167" t="s">
        <v>503</v>
      </c>
      <c r="H19" s="167" t="s">
        <v>521</v>
      </c>
      <c r="I19" s="111" t="s">
        <v>535</v>
      </c>
    </row>
    <row r="20" spans="2:9" x14ac:dyDescent="0.2">
      <c r="B20" s="170"/>
      <c r="C20" s="167"/>
      <c r="D20" s="167"/>
      <c r="E20" s="167"/>
      <c r="F20" s="167"/>
      <c r="G20" s="167"/>
      <c r="H20" s="167"/>
      <c r="I20" s="111" t="s">
        <v>536</v>
      </c>
    </row>
    <row r="21" spans="2:9" x14ac:dyDescent="0.2">
      <c r="B21" s="112" t="s">
        <v>513</v>
      </c>
      <c r="C21" s="113" t="s">
        <v>494</v>
      </c>
      <c r="D21" s="113" t="s">
        <v>495</v>
      </c>
      <c r="E21" s="113" t="s">
        <v>502</v>
      </c>
      <c r="F21" s="113" t="s">
        <v>497</v>
      </c>
      <c r="G21" s="113" t="s">
        <v>514</v>
      </c>
      <c r="H21" s="113" t="s">
        <v>515</v>
      </c>
      <c r="I21" s="114" t="s">
        <v>528</v>
      </c>
    </row>
  </sheetData>
  <mergeCells count="35">
    <mergeCell ref="C19:C20"/>
    <mergeCell ref="D19:D20"/>
    <mergeCell ref="E19:E20"/>
    <mergeCell ref="F19:F20"/>
    <mergeCell ref="G19:G20"/>
    <mergeCell ref="H3:H4"/>
    <mergeCell ref="B8:B10"/>
    <mergeCell ref="C8:C10"/>
    <mergeCell ref="D8:D10"/>
    <mergeCell ref="E8:E10"/>
    <mergeCell ref="F8:F10"/>
    <mergeCell ref="G8:G10"/>
    <mergeCell ref="H8:H10"/>
    <mergeCell ref="B3:B4"/>
    <mergeCell ref="C3:C4"/>
    <mergeCell ref="D3:D4"/>
    <mergeCell ref="E3:E4"/>
    <mergeCell ref="F3:F4"/>
    <mergeCell ref="G3:G4"/>
    <mergeCell ref="H19:H20"/>
    <mergeCell ref="F16:F18"/>
    <mergeCell ref="G16:G18"/>
    <mergeCell ref="H16:H18"/>
    <mergeCell ref="B14:B15"/>
    <mergeCell ref="C14:C15"/>
    <mergeCell ref="D14:D15"/>
    <mergeCell ref="E14:E15"/>
    <mergeCell ref="F14:F15"/>
    <mergeCell ref="G14:G15"/>
    <mergeCell ref="H14:H15"/>
    <mergeCell ref="B16:B18"/>
    <mergeCell ref="C16:C18"/>
    <mergeCell ref="D16:D18"/>
    <mergeCell ref="E16:E18"/>
    <mergeCell ref="B19:B20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CDF-8D3B-4C4F-9F1C-C65D2EB3343E}">
  <dimension ref="A1:M49"/>
  <sheetViews>
    <sheetView zoomScale="80" zoomScaleNormal="80" workbookViewId="0">
      <selection activeCell="K34" sqref="K34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0</v>
      </c>
      <c r="C1" t="s">
        <v>379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-0.12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0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0.35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127</v>
      </c>
      <c r="K5" t="s">
        <v>320</v>
      </c>
      <c r="L5">
        <v>0</v>
      </c>
      <c r="M5">
        <v>0</v>
      </c>
    </row>
    <row r="6" spans="1:13" x14ac:dyDescent="0.2">
      <c r="A6" t="s">
        <v>380</v>
      </c>
    </row>
    <row r="7" spans="1:13" x14ac:dyDescent="0.2">
      <c r="A7" t="s">
        <v>5</v>
      </c>
      <c r="B7" s="6">
        <v>0.68400000000000005</v>
      </c>
      <c r="C7">
        <v>0</v>
      </c>
      <c r="H7" t="s">
        <v>321</v>
      </c>
      <c r="I7" t="s">
        <v>322</v>
      </c>
      <c r="L7" t="s">
        <v>321</v>
      </c>
      <c r="M7" t="s">
        <v>322</v>
      </c>
    </row>
    <row r="8" spans="1:13" x14ac:dyDescent="0.2">
      <c r="A8" t="s">
        <v>186</v>
      </c>
      <c r="B8">
        <v>-2.5999999999999999E-2</v>
      </c>
      <c r="C8">
        <v>0</v>
      </c>
      <c r="G8" t="s">
        <v>186</v>
      </c>
      <c r="H8">
        <f>4.662178- 1.488808</f>
        <v>3.1733700000000002</v>
      </c>
      <c r="I8">
        <f>4.662178+1.488808</f>
        <v>6.1509859999999996</v>
      </c>
      <c r="K8" t="s">
        <v>319</v>
      </c>
      <c r="L8">
        <v>5.6759909999999998</v>
      </c>
      <c r="M8">
        <v>0.5556025</v>
      </c>
    </row>
    <row r="9" spans="1:13" x14ac:dyDescent="0.2">
      <c r="A9" t="s">
        <v>134</v>
      </c>
      <c r="B9">
        <v>-5.8000000000000003E-2</v>
      </c>
      <c r="C9">
        <v>0</v>
      </c>
      <c r="K9" t="s">
        <v>320</v>
      </c>
      <c r="L9">
        <v>3.4433929999999999</v>
      </c>
      <c r="M9">
        <v>1.3375330000000001</v>
      </c>
    </row>
    <row r="10" spans="1:13" x14ac:dyDescent="0.2">
      <c r="A10" t="s">
        <v>229</v>
      </c>
      <c r="B10">
        <v>0</v>
      </c>
      <c r="C10">
        <v>0.49399999999999999</v>
      </c>
      <c r="G10" t="s">
        <v>229</v>
      </c>
      <c r="H10">
        <f>0.5062086-0.1771589</f>
        <v>0.3290497</v>
      </c>
      <c r="I10">
        <f>0.5062086+0.1771589</f>
        <v>0.68336750000000002</v>
      </c>
      <c r="K10" t="s">
        <v>319</v>
      </c>
      <c r="L10">
        <v>0.55539000000000005</v>
      </c>
      <c r="M10">
        <v>0.15205959999999999</v>
      </c>
    </row>
    <row r="11" spans="1:13" x14ac:dyDescent="0.2">
      <c r="A11" t="s">
        <v>149</v>
      </c>
      <c r="B11">
        <v>0</v>
      </c>
      <c r="C11">
        <v>-0.109</v>
      </c>
      <c r="K11" t="s">
        <v>320</v>
      </c>
      <c r="L11">
        <v>0.44526110000000002</v>
      </c>
      <c r="M11">
        <v>0.18690109999999999</v>
      </c>
    </row>
    <row r="12" spans="1:13" x14ac:dyDescent="0.2">
      <c r="A12" t="s">
        <v>382</v>
      </c>
    </row>
    <row r="13" spans="1:13" x14ac:dyDescent="0.2">
      <c r="A13" t="s">
        <v>381</v>
      </c>
    </row>
    <row r="16" spans="1:13" x14ac:dyDescent="0.2">
      <c r="B16" t="s">
        <v>0</v>
      </c>
    </row>
    <row r="17" spans="1:5" x14ac:dyDescent="0.2">
      <c r="A17" t="s">
        <v>316</v>
      </c>
      <c r="B17" t="s">
        <v>317</v>
      </c>
      <c r="C17" t="s">
        <v>366</v>
      </c>
    </row>
    <row r="18" spans="1:5" x14ac:dyDescent="0.2">
      <c r="A18">
        <f>L2+M2</f>
        <v>6.2315934999999998</v>
      </c>
      <c r="B18">
        <f>$B$2+$B$3*A18</f>
        <v>-5.4421707499999999E-2</v>
      </c>
      <c r="E18" s="25"/>
    </row>
    <row r="19" spans="1:5" x14ac:dyDescent="0.2">
      <c r="A19">
        <f>L2-M2</f>
        <v>5.1203884999999998</v>
      </c>
      <c r="B19">
        <f>$B$2+$B$3*A19</f>
        <v>-4.4174824999999862E-3</v>
      </c>
    </row>
    <row r="20" spans="1:5" x14ac:dyDescent="0.2">
      <c r="A20">
        <v>0</v>
      </c>
      <c r="B20">
        <f>$B$2+$B$3*A20</f>
        <v>0.22600000000000001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378</v>
      </c>
    </row>
    <row r="25" spans="1:5" x14ac:dyDescent="0.2">
      <c r="A25" t="s">
        <v>323</v>
      </c>
      <c r="B25" t="s">
        <v>317</v>
      </c>
      <c r="C25" t="s">
        <v>366</v>
      </c>
    </row>
    <row r="26" spans="1:5" x14ac:dyDescent="0.2">
      <c r="A26">
        <v>0.8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-0.12</v>
      </c>
    </row>
    <row r="29" spans="1:5" x14ac:dyDescent="0.2">
      <c r="A29">
        <f>L4-M4</f>
        <v>0.40333040000000009</v>
      </c>
      <c r="B29">
        <f>$C$2+$C$4*A29</f>
        <v>2.1165640000000013E-2</v>
      </c>
    </row>
    <row r="30" spans="1:5" x14ac:dyDescent="0.2">
      <c r="A30">
        <f>L4+M4</f>
        <v>0.70744960000000001</v>
      </c>
      <c r="B30">
        <f>$C$2+$C$4*A30</f>
        <v>0.12760736</v>
      </c>
    </row>
    <row r="35" spans="1:3" x14ac:dyDescent="0.2">
      <c r="B35" t="s">
        <v>3</v>
      </c>
    </row>
    <row r="36" spans="1:3" x14ac:dyDescent="0.2">
      <c r="A36" t="s">
        <v>186</v>
      </c>
      <c r="B36" t="s">
        <v>317</v>
      </c>
      <c r="C36" t="s">
        <v>318</v>
      </c>
    </row>
    <row r="37" spans="1:3" x14ac:dyDescent="0.2">
      <c r="A37">
        <f>L8-M8</f>
        <v>5.1203884999999998</v>
      </c>
      <c r="B37">
        <f>B7+B8*A37+B9*A37</f>
        <v>0.25388736600000006</v>
      </c>
    </row>
    <row r="38" spans="1:3" x14ac:dyDescent="0.2">
      <c r="A38">
        <f>L8+M8</f>
        <v>6.2315934999999998</v>
      </c>
      <c r="B38">
        <f>B7+B8*A38+A38*B9</f>
        <v>0.16054614600000006</v>
      </c>
    </row>
    <row r="39" spans="1:3" x14ac:dyDescent="0.2">
      <c r="A39">
        <v>0</v>
      </c>
      <c r="B39">
        <f>B7+B8*A39+A39*B9</f>
        <v>0.68400000000000005</v>
      </c>
    </row>
    <row r="40" spans="1:3" x14ac:dyDescent="0.2">
      <c r="A40">
        <f>L9-M9</f>
        <v>2.1058599999999998</v>
      </c>
      <c r="C40">
        <f>B8*(A40)</f>
        <v>-5.4752359999999993E-2</v>
      </c>
    </row>
    <row r="41" spans="1:3" x14ac:dyDescent="0.2">
      <c r="A41">
        <f>L9+M9</f>
        <v>4.780926</v>
      </c>
      <c r="C41">
        <f>B8*A41</f>
        <v>-0.124304076</v>
      </c>
    </row>
    <row r="42" spans="1:3" x14ac:dyDescent="0.2">
      <c r="A42">
        <v>0</v>
      </c>
      <c r="C42">
        <f>B8*A42</f>
        <v>0</v>
      </c>
    </row>
    <row r="43" spans="1:3" x14ac:dyDescent="0.2">
      <c r="B43" t="s">
        <v>127</v>
      </c>
    </row>
    <row r="44" spans="1:3" x14ac:dyDescent="0.2">
      <c r="A44" t="s">
        <v>229</v>
      </c>
      <c r="B44" t="s">
        <v>317</v>
      </c>
      <c r="C44" t="s">
        <v>318</v>
      </c>
    </row>
    <row r="45" spans="1:3" x14ac:dyDescent="0.2">
      <c r="A45">
        <f>L10+M10</f>
        <v>0.70744960000000001</v>
      </c>
      <c r="B45">
        <f>C10*A45+C11*A45</f>
        <v>0.272368096</v>
      </c>
    </row>
    <row r="46" spans="1:3" x14ac:dyDescent="0.2">
      <c r="A46">
        <f>L10-M10</f>
        <v>0.40333040000000009</v>
      </c>
      <c r="B46">
        <f>C10*A46+C11*A46</f>
        <v>0.15528220400000003</v>
      </c>
    </row>
    <row r="47" spans="1:3" x14ac:dyDescent="0.2">
      <c r="A47">
        <v>0</v>
      </c>
      <c r="B47">
        <f>C11*A47+C12*A47</f>
        <v>0</v>
      </c>
      <c r="C47">
        <f>C11*A47</f>
        <v>0</v>
      </c>
    </row>
    <row r="48" spans="1:3" x14ac:dyDescent="0.2">
      <c r="A48">
        <f>L11-M11</f>
        <v>0.25836000000000003</v>
      </c>
      <c r="C48">
        <f>C10*A48</f>
        <v>0.12762984000000002</v>
      </c>
    </row>
    <row r="49" spans="1:3" x14ac:dyDescent="0.2">
      <c r="A49">
        <f>L11+M11</f>
        <v>0.63216220000000001</v>
      </c>
      <c r="C49">
        <f>C10*A49</f>
        <v>0.31228812680000001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61"/>
  <sheetViews>
    <sheetView workbookViewId="0">
      <selection activeCell="P26" sqref="P26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1"/>
      <c r="C2" s="22" t="s">
        <v>340</v>
      </c>
      <c r="D2" s="22" t="s">
        <v>341</v>
      </c>
      <c r="E2" s="22" t="s">
        <v>342</v>
      </c>
      <c r="F2" s="22" t="s">
        <v>343</v>
      </c>
      <c r="H2" s="21"/>
      <c r="I2" s="22" t="s">
        <v>340</v>
      </c>
      <c r="J2" s="22" t="s">
        <v>341</v>
      </c>
      <c r="K2" s="22" t="s">
        <v>342</v>
      </c>
      <c r="L2" s="22" t="s">
        <v>343</v>
      </c>
      <c r="N2" s="21"/>
      <c r="O2" s="22" t="s">
        <v>340</v>
      </c>
      <c r="P2" s="22" t="s">
        <v>341</v>
      </c>
    </row>
    <row r="3" spans="2:16" ht="32" customHeight="1" x14ac:dyDescent="0.2">
      <c r="B3" s="15" t="s">
        <v>345</v>
      </c>
      <c r="C3" s="173" t="s">
        <v>346</v>
      </c>
      <c r="D3" s="173"/>
      <c r="E3" s="173" t="s">
        <v>348</v>
      </c>
      <c r="F3" s="173"/>
      <c r="H3" s="15" t="s">
        <v>345</v>
      </c>
      <c r="I3" s="173" t="s">
        <v>349</v>
      </c>
      <c r="J3" s="173"/>
      <c r="K3" s="173" t="s">
        <v>350</v>
      </c>
      <c r="L3" s="173"/>
      <c r="N3" s="15" t="s">
        <v>345</v>
      </c>
      <c r="O3" s="173" t="s">
        <v>352</v>
      </c>
      <c r="P3" s="173"/>
    </row>
    <row r="4" spans="2:16" ht="16" customHeight="1" x14ac:dyDescent="0.2">
      <c r="B4" s="171" t="s">
        <v>334</v>
      </c>
      <c r="C4" s="13" t="s">
        <v>6</v>
      </c>
      <c r="D4" s="13" t="s">
        <v>67</v>
      </c>
      <c r="E4" s="13" t="s">
        <v>7</v>
      </c>
      <c r="F4" s="13" t="s">
        <v>68</v>
      </c>
      <c r="H4" s="171" t="s">
        <v>334</v>
      </c>
      <c r="I4" s="13" t="s">
        <v>128</v>
      </c>
      <c r="J4" s="13" t="s">
        <v>205</v>
      </c>
      <c r="K4" s="13" t="s">
        <v>10</v>
      </c>
      <c r="L4" s="13" t="s">
        <v>260</v>
      </c>
      <c r="N4" s="171" t="s">
        <v>334</v>
      </c>
      <c r="O4" s="13" t="s">
        <v>64</v>
      </c>
      <c r="P4" s="13" t="s">
        <v>53</v>
      </c>
    </row>
    <row r="5" spans="2:16" x14ac:dyDescent="0.2">
      <c r="B5" s="171"/>
      <c r="C5" s="13" t="s">
        <v>16</v>
      </c>
      <c r="D5" s="13" t="s">
        <v>30</v>
      </c>
      <c r="E5" s="13" t="s">
        <v>18</v>
      </c>
      <c r="F5" s="13" t="s">
        <v>73</v>
      </c>
      <c r="H5" s="171"/>
      <c r="I5" s="13" t="s">
        <v>29</v>
      </c>
      <c r="J5" s="13" t="s">
        <v>235</v>
      </c>
      <c r="K5" s="13" t="s">
        <v>24</v>
      </c>
      <c r="L5" s="13" t="s">
        <v>263</v>
      </c>
      <c r="N5" s="171"/>
      <c r="O5" s="13" t="s">
        <v>65</v>
      </c>
      <c r="P5" s="13" t="s">
        <v>239</v>
      </c>
    </row>
    <row r="6" spans="2:16" ht="16" customHeight="1" x14ac:dyDescent="0.2">
      <c r="B6" s="171" t="s">
        <v>364</v>
      </c>
      <c r="C6" s="13"/>
      <c r="D6" s="13" t="s">
        <v>76</v>
      </c>
      <c r="E6" s="13"/>
      <c r="F6" s="13" t="s">
        <v>77</v>
      </c>
      <c r="H6" s="171" t="s">
        <v>360</v>
      </c>
      <c r="J6" s="13" t="s">
        <v>265</v>
      </c>
      <c r="K6" s="13"/>
      <c r="L6" s="13" t="s">
        <v>266</v>
      </c>
      <c r="N6" s="171" t="s">
        <v>360</v>
      </c>
      <c r="P6" s="13" t="s">
        <v>97</v>
      </c>
    </row>
    <row r="7" spans="2:16" x14ac:dyDescent="0.2">
      <c r="B7" s="171"/>
      <c r="C7" s="13"/>
      <c r="D7" s="13" t="s">
        <v>26</v>
      </c>
      <c r="E7" s="13"/>
      <c r="F7" s="13" t="s">
        <v>78</v>
      </c>
      <c r="H7" s="171"/>
      <c r="J7" s="13" t="s">
        <v>213</v>
      </c>
      <c r="K7" s="13"/>
      <c r="L7" s="13" t="s">
        <v>78</v>
      </c>
      <c r="N7" s="171"/>
      <c r="P7" s="13" t="s">
        <v>241</v>
      </c>
    </row>
    <row r="8" spans="2:16" ht="16" customHeight="1" x14ac:dyDescent="0.2">
      <c r="B8" s="171" t="s">
        <v>365</v>
      </c>
      <c r="C8" s="13"/>
      <c r="D8" s="13" t="s">
        <v>80</v>
      </c>
      <c r="E8" s="13"/>
      <c r="F8" s="13" t="s">
        <v>81</v>
      </c>
      <c r="H8" s="171" t="s">
        <v>361</v>
      </c>
      <c r="J8" s="13" t="s">
        <v>268</v>
      </c>
      <c r="K8" s="13"/>
      <c r="L8" s="13" t="s">
        <v>269</v>
      </c>
      <c r="N8" s="171" t="s">
        <v>361</v>
      </c>
      <c r="P8" s="13" t="s">
        <v>273</v>
      </c>
    </row>
    <row r="9" spans="2:16" x14ac:dyDescent="0.2">
      <c r="B9" s="172"/>
      <c r="C9" s="16"/>
      <c r="D9" s="16" t="s">
        <v>85</v>
      </c>
      <c r="E9" s="16"/>
      <c r="F9" s="16" t="s">
        <v>86</v>
      </c>
      <c r="H9" s="171"/>
      <c r="J9" s="13" t="s">
        <v>163</v>
      </c>
      <c r="K9" s="13"/>
      <c r="L9" s="13" t="s">
        <v>274</v>
      </c>
      <c r="N9" s="171"/>
      <c r="P9" s="13" t="s">
        <v>217</v>
      </c>
    </row>
    <row r="10" spans="2:16" ht="16" customHeight="1" x14ac:dyDescent="0.2">
      <c r="B10" s="14" t="s">
        <v>335</v>
      </c>
      <c r="C10" s="13" t="s">
        <v>336</v>
      </c>
      <c r="D10" s="13" t="s">
        <v>336</v>
      </c>
      <c r="E10" s="13" t="s">
        <v>336</v>
      </c>
      <c r="F10" s="13" t="s">
        <v>336</v>
      </c>
      <c r="H10" s="171" t="s">
        <v>362</v>
      </c>
      <c r="I10" s="13"/>
      <c r="J10" s="13" t="s">
        <v>276</v>
      </c>
      <c r="K10" s="13"/>
      <c r="L10" s="13" t="s">
        <v>277</v>
      </c>
      <c r="N10" s="171" t="s">
        <v>362</v>
      </c>
      <c r="O10" s="13"/>
      <c r="P10" s="13" t="s">
        <v>140</v>
      </c>
    </row>
    <row r="11" spans="2:16" x14ac:dyDescent="0.2">
      <c r="B11" s="14" t="s">
        <v>337</v>
      </c>
      <c r="C11" s="13" t="s">
        <v>336</v>
      </c>
      <c r="D11" s="13" t="s">
        <v>336</v>
      </c>
      <c r="E11" s="13" t="s">
        <v>336</v>
      </c>
      <c r="F11" s="13" t="s">
        <v>336</v>
      </c>
      <c r="H11" s="171"/>
      <c r="I11" s="13"/>
      <c r="J11" s="13" t="s">
        <v>251</v>
      </c>
      <c r="K11" s="13"/>
      <c r="L11" s="13" t="s">
        <v>20</v>
      </c>
      <c r="N11" s="171"/>
      <c r="O11" s="13"/>
      <c r="P11" s="13" t="s">
        <v>213</v>
      </c>
    </row>
    <row r="12" spans="2:16" ht="16" customHeight="1" x14ac:dyDescent="0.2">
      <c r="B12" s="14" t="s">
        <v>338</v>
      </c>
      <c r="C12" s="13" t="s">
        <v>336</v>
      </c>
      <c r="D12" s="13" t="s">
        <v>336</v>
      </c>
      <c r="E12" s="13" t="s">
        <v>336</v>
      </c>
      <c r="F12" s="13" t="s">
        <v>336</v>
      </c>
      <c r="H12" s="171" t="s">
        <v>363</v>
      </c>
      <c r="I12" s="13"/>
      <c r="J12" s="13" t="s">
        <v>281</v>
      </c>
      <c r="K12" s="13"/>
      <c r="L12" s="13" t="s">
        <v>112</v>
      </c>
      <c r="N12" s="171" t="s">
        <v>363</v>
      </c>
      <c r="O12" s="13"/>
      <c r="P12" s="13" t="s">
        <v>285</v>
      </c>
    </row>
    <row r="13" spans="2:16" x14ac:dyDescent="0.2">
      <c r="B13" s="20" t="s">
        <v>339</v>
      </c>
      <c r="C13" s="16" t="s">
        <v>344</v>
      </c>
      <c r="D13" s="16" t="s">
        <v>347</v>
      </c>
      <c r="E13" s="16" t="s">
        <v>344</v>
      </c>
      <c r="F13" s="16" t="s">
        <v>347</v>
      </c>
      <c r="H13" s="172"/>
      <c r="I13" s="16"/>
      <c r="J13" s="16" t="s">
        <v>210</v>
      </c>
      <c r="K13" s="16"/>
      <c r="L13" s="16" t="s">
        <v>286</v>
      </c>
      <c r="N13" s="172"/>
      <c r="O13" s="16"/>
      <c r="P13" s="16" t="s">
        <v>60</v>
      </c>
    </row>
    <row r="14" spans="2:16" ht="16" customHeight="1" x14ac:dyDescent="0.2">
      <c r="H14" s="14" t="s">
        <v>335</v>
      </c>
      <c r="I14" s="13" t="s">
        <v>336</v>
      </c>
      <c r="J14" s="13" t="s">
        <v>336</v>
      </c>
      <c r="K14" s="13" t="s">
        <v>336</v>
      </c>
      <c r="L14" s="13" t="s">
        <v>336</v>
      </c>
      <c r="N14" s="14" t="s">
        <v>335</v>
      </c>
      <c r="O14" s="13" t="s">
        <v>336</v>
      </c>
      <c r="P14" s="13" t="s">
        <v>336</v>
      </c>
    </row>
    <row r="15" spans="2:16" x14ac:dyDescent="0.2">
      <c r="H15" s="14" t="s">
        <v>337</v>
      </c>
      <c r="I15" s="13" t="s">
        <v>336</v>
      </c>
      <c r="J15" s="13" t="s">
        <v>336</v>
      </c>
      <c r="K15" s="13" t="s">
        <v>336</v>
      </c>
      <c r="L15" s="13" t="s">
        <v>336</v>
      </c>
      <c r="N15" s="14" t="s">
        <v>337</v>
      </c>
      <c r="O15" s="13" t="s">
        <v>336</v>
      </c>
      <c r="P15" s="13" t="s">
        <v>336</v>
      </c>
    </row>
    <row r="16" spans="2:16" x14ac:dyDescent="0.2">
      <c r="H16" s="14" t="s">
        <v>338</v>
      </c>
      <c r="I16" s="13" t="s">
        <v>336</v>
      </c>
      <c r="J16" s="13" t="s">
        <v>336</v>
      </c>
      <c r="K16" s="13" t="s">
        <v>336</v>
      </c>
      <c r="L16" s="13" t="s">
        <v>336</v>
      </c>
      <c r="N16" s="14" t="s">
        <v>338</v>
      </c>
      <c r="O16" s="13" t="s">
        <v>336</v>
      </c>
      <c r="P16" s="13" t="s">
        <v>336</v>
      </c>
    </row>
    <row r="17" spans="2:16" ht="16" customHeight="1" x14ac:dyDescent="0.2">
      <c r="C17" s="23"/>
      <c r="H17" s="20" t="s">
        <v>339</v>
      </c>
      <c r="I17" s="16" t="s">
        <v>344</v>
      </c>
      <c r="J17" s="16" t="s">
        <v>351</v>
      </c>
      <c r="K17" s="16" t="s">
        <v>344</v>
      </c>
      <c r="L17" s="16" t="s">
        <v>351</v>
      </c>
      <c r="N17" s="20" t="s">
        <v>339</v>
      </c>
      <c r="O17" s="16" t="s">
        <v>353</v>
      </c>
      <c r="P17" s="16" t="s">
        <v>354</v>
      </c>
    </row>
    <row r="18" spans="2:16" x14ac:dyDescent="0.2">
      <c r="C18" s="23"/>
    </row>
    <row r="19" spans="2:16" x14ac:dyDescent="0.2">
      <c r="B19" s="21"/>
      <c r="C19" s="22" t="s">
        <v>340</v>
      </c>
      <c r="D19" s="22" t="s">
        <v>341</v>
      </c>
      <c r="E19" s="22" t="s">
        <v>342</v>
      </c>
      <c r="F19" s="22" t="s">
        <v>343</v>
      </c>
    </row>
    <row r="20" spans="2:16" ht="32" customHeight="1" x14ac:dyDescent="0.2">
      <c r="B20" s="29" t="s">
        <v>388</v>
      </c>
      <c r="C20" s="173" t="s">
        <v>399</v>
      </c>
      <c r="D20" s="173"/>
      <c r="E20" s="173" t="s">
        <v>400</v>
      </c>
      <c r="F20" s="173"/>
    </row>
    <row r="21" spans="2:16" ht="16" customHeight="1" x14ac:dyDescent="0.2">
      <c r="B21" s="171" t="s">
        <v>334</v>
      </c>
      <c r="C21" s="13" t="s">
        <v>6</v>
      </c>
      <c r="D21" s="13" t="s">
        <v>67</v>
      </c>
      <c r="E21" s="13" t="s">
        <v>41</v>
      </c>
      <c r="F21" s="13" t="s">
        <v>387</v>
      </c>
    </row>
    <row r="22" spans="2:16" x14ac:dyDescent="0.2">
      <c r="B22" s="171"/>
      <c r="C22" s="13" t="s">
        <v>16</v>
      </c>
      <c r="D22" s="13" t="s">
        <v>30</v>
      </c>
      <c r="E22" s="13" t="s">
        <v>383</v>
      </c>
      <c r="F22" s="13" t="s">
        <v>88</v>
      </c>
    </row>
    <row r="23" spans="2:16" ht="16" customHeight="1" x14ac:dyDescent="0.2">
      <c r="B23" s="171" t="s">
        <v>401</v>
      </c>
      <c r="C23" s="13"/>
      <c r="D23" s="13" t="s">
        <v>76</v>
      </c>
      <c r="E23" s="13"/>
      <c r="F23" s="13" t="s">
        <v>384</v>
      </c>
    </row>
    <row r="24" spans="2:16" x14ac:dyDescent="0.2">
      <c r="B24" s="171"/>
      <c r="C24" s="13"/>
      <c r="D24" s="13" t="s">
        <v>26</v>
      </c>
      <c r="E24" s="13"/>
      <c r="F24" s="13" t="s">
        <v>16</v>
      </c>
    </row>
    <row r="25" spans="2:16" ht="16" customHeight="1" x14ac:dyDescent="0.2">
      <c r="B25" s="171" t="s">
        <v>402</v>
      </c>
      <c r="C25" s="13"/>
      <c r="D25" s="13" t="s">
        <v>80</v>
      </c>
      <c r="E25" s="13"/>
      <c r="F25" s="13" t="s">
        <v>385</v>
      </c>
    </row>
    <row r="26" spans="2:16" x14ac:dyDescent="0.2">
      <c r="B26" s="172"/>
      <c r="C26" s="16"/>
      <c r="D26" s="16" t="s">
        <v>85</v>
      </c>
      <c r="E26" s="16"/>
      <c r="F26" s="16" t="s">
        <v>99</v>
      </c>
    </row>
    <row r="27" spans="2:16" x14ac:dyDescent="0.2">
      <c r="B27" s="14" t="s">
        <v>335</v>
      </c>
      <c r="C27" s="13" t="s">
        <v>336</v>
      </c>
      <c r="D27" s="13" t="s">
        <v>336</v>
      </c>
      <c r="E27" s="13" t="s">
        <v>336</v>
      </c>
      <c r="F27" s="13" t="s">
        <v>336</v>
      </c>
    </row>
    <row r="28" spans="2:16" x14ac:dyDescent="0.2">
      <c r="B28" s="14" t="s">
        <v>337</v>
      </c>
      <c r="C28" s="13" t="s">
        <v>336</v>
      </c>
      <c r="D28" s="13" t="s">
        <v>336</v>
      </c>
      <c r="E28" s="13" t="s">
        <v>336</v>
      </c>
      <c r="F28" s="13" t="s">
        <v>336</v>
      </c>
    </row>
    <row r="29" spans="2:16" x14ac:dyDescent="0.2">
      <c r="B29" s="14" t="s">
        <v>338</v>
      </c>
      <c r="C29" s="13" t="s">
        <v>336</v>
      </c>
      <c r="D29" s="13" t="s">
        <v>336</v>
      </c>
      <c r="E29" s="13" t="s">
        <v>336</v>
      </c>
      <c r="F29" s="13" t="s">
        <v>336</v>
      </c>
    </row>
    <row r="30" spans="2:16" x14ac:dyDescent="0.2">
      <c r="B30" s="20" t="s">
        <v>339</v>
      </c>
      <c r="C30" s="16" t="s">
        <v>344</v>
      </c>
      <c r="D30" s="16" t="s">
        <v>347</v>
      </c>
      <c r="E30" s="16" t="s">
        <v>386</v>
      </c>
      <c r="F30" s="16" t="s">
        <v>386</v>
      </c>
    </row>
    <row r="32" spans="2:16" ht="16" customHeight="1" x14ac:dyDescent="0.2"/>
    <row r="34" spans="2:7" ht="16" customHeight="1" x14ac:dyDescent="0.2"/>
    <row r="44" spans="2:7" x14ac:dyDescent="0.2">
      <c r="B44" s="176" t="s">
        <v>324</v>
      </c>
      <c r="C44" s="176" t="s">
        <v>325</v>
      </c>
      <c r="D44" s="176"/>
      <c r="E44" s="176"/>
      <c r="F44" s="176" t="s">
        <v>326</v>
      </c>
      <c r="G44" s="176" t="s">
        <v>327</v>
      </c>
    </row>
    <row r="45" spans="2:7" x14ac:dyDescent="0.2">
      <c r="B45" s="175"/>
      <c r="C45" s="19" t="s">
        <v>328</v>
      </c>
      <c r="D45" s="19" t="s">
        <v>329</v>
      </c>
      <c r="E45" s="19" t="s">
        <v>330</v>
      </c>
      <c r="F45" s="177"/>
      <c r="G45" s="177"/>
    </row>
    <row r="46" spans="2:7" x14ac:dyDescent="0.2">
      <c r="B46" s="174" t="s">
        <v>331</v>
      </c>
      <c r="C46" s="17" t="str">
        <f>"86.809"</f>
        <v>86.809</v>
      </c>
      <c r="D46" s="17" t="str">
        <f>"84.233"</f>
        <v>84.233</v>
      </c>
      <c r="E46" s="17" t="str">
        <f>"89.272"</f>
        <v>89.272</v>
      </c>
      <c r="F46" s="175" t="str">
        <f>"0.000"</f>
        <v>0.000</v>
      </c>
      <c r="G46" s="175" t="str">
        <f>"2702.000"</f>
        <v>2702.000</v>
      </c>
    </row>
    <row r="47" spans="2:7" x14ac:dyDescent="0.2">
      <c r="B47" s="174"/>
      <c r="C47" s="17" t="str">
        <f>"(113.981)"</f>
        <v>(113.981)</v>
      </c>
      <c r="D47" s="17" t="str">
        <f>"(89.347)"</f>
        <v>(89.347)</v>
      </c>
      <c r="E47" s="17" t="str">
        <f>"(133.323)"</f>
        <v>(133.323)</v>
      </c>
      <c r="F47" s="175"/>
      <c r="G47" s="175"/>
    </row>
    <row r="48" spans="2:7" x14ac:dyDescent="0.2">
      <c r="B48" s="174" t="s">
        <v>332</v>
      </c>
      <c r="C48" s="17" t="str">
        <f>"1.293"</f>
        <v>1.293</v>
      </c>
      <c r="D48" s="17" t="str">
        <f>"1.209"</f>
        <v>1.209</v>
      </c>
      <c r="E48" s="17" t="str">
        <f>"1.372"</f>
        <v>1.372</v>
      </c>
      <c r="F48" s="175" t="str">
        <f>"0.000"</f>
        <v>0.000</v>
      </c>
      <c r="G48" s="175" t="str">
        <f>"8.000"</f>
        <v>8.000</v>
      </c>
    </row>
    <row r="49" spans="2:7" x14ac:dyDescent="0.2">
      <c r="B49" s="174"/>
      <c r="C49" s="17" t="str">
        <f>"(1.166)"</f>
        <v>(1.166)</v>
      </c>
      <c r="D49" s="17" t="str">
        <f>"(1.133)"</f>
        <v>(1.133)</v>
      </c>
      <c r="E49" s="17" t="str">
        <f>"(1.192)"</f>
        <v>(1.192)</v>
      </c>
      <c r="F49" s="175"/>
      <c r="G49" s="175"/>
    </row>
    <row r="50" spans="2:7" x14ac:dyDescent="0.2">
      <c r="B50" s="174" t="s">
        <v>355</v>
      </c>
      <c r="C50" s="17" t="str">
        <f>"0.420"</f>
        <v>0.420</v>
      </c>
      <c r="D50" s="17" t="str">
        <f>"0.432"</f>
        <v>0.432</v>
      </c>
      <c r="E50" s="17" t="str">
        <f>"0.397"</f>
        <v>0.397</v>
      </c>
      <c r="F50" s="175" t="str">
        <f>"-0.048"</f>
        <v>-0.048</v>
      </c>
      <c r="G50" s="175" t="str">
        <f>"0.991"</f>
        <v>0.991</v>
      </c>
    </row>
    <row r="51" spans="2:7" x14ac:dyDescent="0.2">
      <c r="B51" s="174"/>
      <c r="C51" s="17" t="str">
        <f>"(0.181)"</f>
        <v>(0.181)</v>
      </c>
      <c r="D51" s="17" t="str">
        <f>"(0.175)"</f>
        <v>(0.175)</v>
      </c>
      <c r="E51" s="17" t="str">
        <f>"(0.188)"</f>
        <v>(0.188)</v>
      </c>
      <c r="F51" s="175"/>
      <c r="G51" s="175"/>
    </row>
    <row r="52" spans="2:7" x14ac:dyDescent="0.2">
      <c r="B52" s="174" t="s">
        <v>333</v>
      </c>
      <c r="C52" s="17" t="str">
        <f>"0.489"</f>
        <v>0.489</v>
      </c>
      <c r="D52" s="17" t="str">
        <f>"0.436"</f>
        <v>0.436</v>
      </c>
      <c r="E52" s="17" t="str">
        <f>"0.536"</f>
        <v>0.536</v>
      </c>
      <c r="F52" s="175" t="str">
        <f>"-3.000"</f>
        <v>-3.000</v>
      </c>
      <c r="G52" s="175" t="str">
        <f>"14.000"</f>
        <v>14.000</v>
      </c>
    </row>
    <row r="53" spans="2:7" x14ac:dyDescent="0.2">
      <c r="B53" s="174"/>
      <c r="C53" s="17" t="str">
        <f>"(1.096)"</f>
        <v>(1.096)</v>
      </c>
      <c r="D53" s="17" t="str">
        <f>"(1.041)"</f>
        <v>(1.041)</v>
      </c>
      <c r="E53" s="17" t="str">
        <f>"(1.140)"</f>
        <v>(1.140)</v>
      </c>
      <c r="F53" s="175"/>
      <c r="G53" s="175"/>
    </row>
    <row r="54" spans="2:7" x14ac:dyDescent="0.2">
      <c r="B54" s="174" t="s">
        <v>357</v>
      </c>
      <c r="C54" s="17" t="str">
        <f>"2.774"</f>
        <v>2.774</v>
      </c>
      <c r="D54" s="17" t="str">
        <f>"5.676"</f>
        <v>5.676</v>
      </c>
      <c r="E54" s="17" t="str">
        <f>"0.000"</f>
        <v>0.000</v>
      </c>
      <c r="F54" s="175" t="str">
        <f>"0.000"</f>
        <v>0.000</v>
      </c>
      <c r="G54" s="175" t="str">
        <f>"6.977"</f>
        <v>6.977</v>
      </c>
    </row>
    <row r="55" spans="2:7" x14ac:dyDescent="0.2">
      <c r="B55" s="174"/>
      <c r="C55" s="17" t="str">
        <f>"(2.864)"</f>
        <v>(2.864)</v>
      </c>
      <c r="D55" s="17" t="str">
        <f>"(0.556)"</f>
        <v>(0.556)</v>
      </c>
      <c r="E55" s="17" t="str">
        <f>"(0.000)"</f>
        <v>(0.000)</v>
      </c>
      <c r="F55" s="175"/>
      <c r="G55" s="175"/>
    </row>
    <row r="56" spans="2:7" x14ac:dyDescent="0.2">
      <c r="B56" s="174" t="s">
        <v>359</v>
      </c>
      <c r="C56" s="17" t="str">
        <f>"0.271"</f>
        <v>0.271</v>
      </c>
      <c r="D56" s="17" t="str">
        <f>"0.555"</f>
        <v>0.555</v>
      </c>
      <c r="E56" s="17" t="str">
        <f>"0.000"</f>
        <v>0.000</v>
      </c>
      <c r="F56" s="175" t="str">
        <f>"0.000"</f>
        <v>0.000</v>
      </c>
      <c r="G56" s="175" t="str">
        <f>"0.891"</f>
        <v>0.891</v>
      </c>
    </row>
    <row r="57" spans="2:7" x14ac:dyDescent="0.2">
      <c r="B57" s="174"/>
      <c r="C57" s="17" t="str">
        <f>"(0.297)"</f>
        <v>(0.297)</v>
      </c>
      <c r="D57" s="17" t="str">
        <f>"(0.152)"</f>
        <v>(0.152)</v>
      </c>
      <c r="E57" s="17" t="str">
        <f>"(0.000)"</f>
        <v>(0.000)</v>
      </c>
      <c r="F57" s="175"/>
      <c r="G57" s="175"/>
    </row>
    <row r="58" spans="2:7" x14ac:dyDescent="0.2">
      <c r="B58" s="174" t="s">
        <v>358</v>
      </c>
      <c r="C58" s="17" t="str">
        <f>"4.662"</f>
        <v>4.662</v>
      </c>
      <c r="D58" s="17" t="str">
        <f>"5.676"</f>
        <v>5.676</v>
      </c>
      <c r="E58" s="17" t="str">
        <f>"3.443"</f>
        <v>3.443</v>
      </c>
      <c r="F58" s="175" t="str">
        <f>"0.000"</f>
        <v>0.000</v>
      </c>
      <c r="G58" s="175" t="str">
        <f>"7.912"</f>
        <v>7.912</v>
      </c>
    </row>
    <row r="59" spans="2:7" x14ac:dyDescent="0.2">
      <c r="B59" s="174"/>
      <c r="C59" s="17" t="str">
        <f>"(1.489)"</f>
        <v>(1.489)</v>
      </c>
      <c r="D59" s="17" t="str">
        <f>"(0.556)"</f>
        <v>(0.556)</v>
      </c>
      <c r="E59" s="17" t="str">
        <f>"(1.338)"</f>
        <v>(1.338)</v>
      </c>
      <c r="F59" s="175"/>
      <c r="G59" s="175"/>
    </row>
    <row r="60" spans="2:7" x14ac:dyDescent="0.2">
      <c r="B60" s="174" t="s">
        <v>356</v>
      </c>
      <c r="C60" s="17" t="str">
        <f>"0.506"</f>
        <v>0.506</v>
      </c>
      <c r="D60" s="17" t="str">
        <f>"0.555"</f>
        <v>0.555</v>
      </c>
      <c r="E60" s="17" t="str">
        <f>"0.445"</f>
        <v>0.445</v>
      </c>
      <c r="F60" s="175" t="str">
        <f>"-0.090"</f>
        <v>-0.090</v>
      </c>
      <c r="G60" s="175" t="str">
        <f>"0.911"</f>
        <v>0.911</v>
      </c>
    </row>
    <row r="61" spans="2:7" x14ac:dyDescent="0.2">
      <c r="B61" s="178"/>
      <c r="C61" s="18" t="str">
        <f>"(0.177)"</f>
        <v>(0.177)</v>
      </c>
      <c r="D61" s="18" t="str">
        <f>"(0.152)"</f>
        <v>(0.152)</v>
      </c>
      <c r="E61" s="18" t="str">
        <f>"(0.187)"</f>
        <v>(0.187)</v>
      </c>
      <c r="F61" s="177"/>
      <c r="G61" s="177"/>
    </row>
  </sheetData>
  <mergeCells count="51">
    <mergeCell ref="G50:G51"/>
    <mergeCell ref="B52:B53"/>
    <mergeCell ref="F52:F53"/>
    <mergeCell ref="G52:G53"/>
    <mergeCell ref="G60:G61"/>
    <mergeCell ref="G54:G55"/>
    <mergeCell ref="B56:B57"/>
    <mergeCell ref="F56:F57"/>
    <mergeCell ref="G56:G57"/>
    <mergeCell ref="B58:B59"/>
    <mergeCell ref="F58:F59"/>
    <mergeCell ref="G58:G59"/>
    <mergeCell ref="B54:B55"/>
    <mergeCell ref="F54:F55"/>
    <mergeCell ref="E20:F20"/>
    <mergeCell ref="B50:B51"/>
    <mergeCell ref="F50:F51"/>
    <mergeCell ref="B60:B61"/>
    <mergeCell ref="F60:F61"/>
    <mergeCell ref="H6:H7"/>
    <mergeCell ref="B48:B49"/>
    <mergeCell ref="F48:F49"/>
    <mergeCell ref="G48:G49"/>
    <mergeCell ref="N10:N11"/>
    <mergeCell ref="N12:N13"/>
    <mergeCell ref="B44:B45"/>
    <mergeCell ref="B46:B47"/>
    <mergeCell ref="C44:E44"/>
    <mergeCell ref="F44:F45"/>
    <mergeCell ref="G44:G45"/>
    <mergeCell ref="F46:F47"/>
    <mergeCell ref="G46:G47"/>
    <mergeCell ref="H10:H11"/>
    <mergeCell ref="H12:H13"/>
    <mergeCell ref="C20:D20"/>
    <mergeCell ref="H8:H9"/>
    <mergeCell ref="B21:B22"/>
    <mergeCell ref="B23:B24"/>
    <mergeCell ref="B25:B26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G53" sqref="G53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181" t="s">
        <v>179</v>
      </c>
      <c r="C2" s="3"/>
      <c r="D2" s="183" t="s">
        <v>0</v>
      </c>
      <c r="E2" s="183"/>
      <c r="F2" s="183" t="s">
        <v>1</v>
      </c>
      <c r="G2" s="183"/>
      <c r="H2" s="8" t="s">
        <v>124</v>
      </c>
      <c r="I2" s="8" t="s">
        <v>125</v>
      </c>
      <c r="J2" s="8" t="s">
        <v>126</v>
      </c>
      <c r="K2" s="183" t="s">
        <v>2</v>
      </c>
      <c r="L2" s="183"/>
    </row>
    <row r="3" spans="2:12" hidden="1" x14ac:dyDescent="0.2">
      <c r="B3" s="182"/>
      <c r="C3" s="179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182"/>
      <c r="C4" s="180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182"/>
      <c r="C5" s="179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182"/>
      <c r="C6" s="180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182"/>
      <c r="C7" s="179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182"/>
      <c r="C8" s="180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182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181" t="s">
        <v>180</v>
      </c>
      <c r="C11" s="3"/>
      <c r="D11" s="183" t="s">
        <v>3</v>
      </c>
      <c r="E11" s="183"/>
      <c r="F11" s="183" t="s">
        <v>4</v>
      </c>
      <c r="G11" s="183"/>
      <c r="H11" s="8" t="s">
        <v>124</v>
      </c>
      <c r="I11" s="8" t="s">
        <v>125</v>
      </c>
      <c r="J11" s="8" t="s">
        <v>126</v>
      </c>
      <c r="K11" s="183" t="s">
        <v>127</v>
      </c>
      <c r="L11" s="183"/>
    </row>
    <row r="12" spans="2:12" hidden="1" x14ac:dyDescent="0.2">
      <c r="B12" s="182"/>
      <c r="C12" s="179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182"/>
      <c r="C13" s="180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182"/>
      <c r="C14" s="179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182"/>
      <c r="C15" s="180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182"/>
      <c r="C16" s="179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182"/>
      <c r="C17" s="180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182"/>
      <c r="C18" s="179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182"/>
      <c r="C19" s="180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182"/>
      <c r="C20" s="179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182"/>
      <c r="C21" s="180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182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181" t="s">
        <v>177</v>
      </c>
      <c r="C25" s="3"/>
      <c r="D25" s="183" t="s">
        <v>0</v>
      </c>
      <c r="E25" s="183"/>
      <c r="F25" s="183" t="s">
        <v>1</v>
      </c>
      <c r="G25" s="183"/>
      <c r="H25" s="8" t="s">
        <v>124</v>
      </c>
      <c r="I25" s="8" t="s">
        <v>125</v>
      </c>
      <c r="J25" s="8" t="s">
        <v>126</v>
      </c>
      <c r="K25" s="183" t="s">
        <v>2</v>
      </c>
      <c r="L25" s="183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182"/>
      <c r="C26" s="179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182"/>
      <c r="C27" s="180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182"/>
      <c r="C28" s="179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182"/>
      <c r="C29" s="180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182"/>
      <c r="C30" s="179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182"/>
      <c r="C31" s="180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182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181" t="s">
        <v>178</v>
      </c>
      <c r="C34" s="3"/>
      <c r="D34" s="183" t="s">
        <v>3</v>
      </c>
      <c r="E34" s="183"/>
      <c r="F34" s="183" t="s">
        <v>4</v>
      </c>
      <c r="G34" s="183"/>
      <c r="H34" s="8" t="s">
        <v>124</v>
      </c>
      <c r="I34" s="8" t="s">
        <v>125</v>
      </c>
      <c r="J34" s="8" t="s">
        <v>126</v>
      </c>
      <c r="K34" s="183" t="s">
        <v>127</v>
      </c>
      <c r="L34" s="183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182"/>
      <c r="C35" s="179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182"/>
      <c r="C36" s="180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182"/>
      <c r="C37" s="179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182"/>
      <c r="C38" s="180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182"/>
      <c r="C39" s="179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182"/>
      <c r="C40" s="180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182"/>
      <c r="C41" s="179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182"/>
      <c r="C42" s="180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182"/>
      <c r="C43" s="179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182"/>
      <c r="C44" s="180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182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181" t="s">
        <v>130</v>
      </c>
      <c r="C47" s="3"/>
      <c r="D47" s="183" t="s">
        <v>0</v>
      </c>
      <c r="E47" s="183"/>
      <c r="F47" s="183" t="s">
        <v>1</v>
      </c>
      <c r="G47" s="183"/>
      <c r="H47" s="24" t="s">
        <v>124</v>
      </c>
      <c r="I47" s="24" t="s">
        <v>125</v>
      </c>
      <c r="J47" s="24" t="s">
        <v>126</v>
      </c>
      <c r="K47" s="184" t="s">
        <v>2</v>
      </c>
      <c r="L47" s="184"/>
    </row>
    <row r="48" spans="2:24" x14ac:dyDescent="0.2">
      <c r="B48" s="182"/>
      <c r="C48" s="179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24" t="s">
        <v>69</v>
      </c>
      <c r="I48" s="24" t="s">
        <v>70</v>
      </c>
      <c r="J48" s="24" t="s">
        <v>71</v>
      </c>
      <c r="K48" s="24" t="s">
        <v>9</v>
      </c>
      <c r="L48" s="24" t="s">
        <v>72</v>
      </c>
    </row>
    <row r="49" spans="2:12" x14ac:dyDescent="0.2">
      <c r="B49" s="182"/>
      <c r="C49" s="180"/>
      <c r="D49" s="4" t="s">
        <v>16</v>
      </c>
      <c r="E49" s="4" t="s">
        <v>30</v>
      </c>
      <c r="F49" s="4" t="s">
        <v>18</v>
      </c>
      <c r="G49" s="4" t="s">
        <v>73</v>
      </c>
      <c r="H49" s="24" t="s">
        <v>74</v>
      </c>
      <c r="I49" s="24" t="s">
        <v>51</v>
      </c>
      <c r="J49" s="24" t="s">
        <v>75</v>
      </c>
      <c r="K49" s="24" t="s">
        <v>22</v>
      </c>
      <c r="L49" s="24" t="s">
        <v>30</v>
      </c>
    </row>
    <row r="50" spans="2:12" x14ac:dyDescent="0.2">
      <c r="B50" s="182"/>
      <c r="C50" s="179" t="s">
        <v>11</v>
      </c>
      <c r="D50" s="4"/>
      <c r="E50" s="4" t="s">
        <v>76</v>
      </c>
      <c r="F50" s="4"/>
      <c r="G50" s="4" t="s">
        <v>77</v>
      </c>
      <c r="H50" s="24" t="s">
        <v>53</v>
      </c>
      <c r="I50" s="24" t="s">
        <v>56</v>
      </c>
      <c r="J50" s="24" t="s">
        <v>55</v>
      </c>
      <c r="K50" s="24"/>
      <c r="L50" s="24" t="s">
        <v>41</v>
      </c>
    </row>
    <row r="51" spans="2:12" x14ac:dyDescent="0.2">
      <c r="B51" s="182"/>
      <c r="C51" s="180"/>
      <c r="D51" s="4"/>
      <c r="E51" s="4" t="s">
        <v>26</v>
      </c>
      <c r="F51" s="4"/>
      <c r="G51" s="4" t="s">
        <v>78</v>
      </c>
      <c r="H51" s="24" t="s">
        <v>57</v>
      </c>
      <c r="I51" s="24" t="s">
        <v>28</v>
      </c>
      <c r="J51" s="24" t="s">
        <v>26</v>
      </c>
      <c r="K51" s="24"/>
      <c r="L51" s="24" t="s">
        <v>26</v>
      </c>
    </row>
    <row r="52" spans="2:12" x14ac:dyDescent="0.2">
      <c r="B52" s="182"/>
      <c r="C52" s="179" t="s">
        <v>79</v>
      </c>
      <c r="D52" s="4"/>
      <c r="E52" s="4" t="s">
        <v>80</v>
      </c>
      <c r="F52" s="4"/>
      <c r="G52" s="4" t="s">
        <v>81</v>
      </c>
      <c r="H52" s="24" t="s">
        <v>82</v>
      </c>
      <c r="I52" s="24" t="s">
        <v>83</v>
      </c>
      <c r="J52" s="24" t="s">
        <v>84</v>
      </c>
      <c r="K52" s="24"/>
      <c r="L52" s="24" t="s">
        <v>42</v>
      </c>
    </row>
    <row r="53" spans="2:12" x14ac:dyDescent="0.2">
      <c r="B53" s="182"/>
      <c r="C53" s="180"/>
      <c r="D53" s="4"/>
      <c r="E53" s="4" t="s">
        <v>85</v>
      </c>
      <c r="F53" s="4"/>
      <c r="G53" s="4" t="s">
        <v>86</v>
      </c>
      <c r="H53" s="24" t="s">
        <v>87</v>
      </c>
      <c r="I53" s="24" t="s">
        <v>88</v>
      </c>
      <c r="J53" s="24" t="s">
        <v>36</v>
      </c>
      <c r="K53" s="24"/>
      <c r="L53" s="24" t="s">
        <v>89</v>
      </c>
    </row>
    <row r="54" spans="2:12" x14ac:dyDescent="0.2">
      <c r="B54" s="182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24" t="s">
        <v>91</v>
      </c>
      <c r="I54" s="24" t="s">
        <v>91</v>
      </c>
      <c r="J54" s="24" t="s">
        <v>91</v>
      </c>
      <c r="K54" s="24" t="s">
        <v>40</v>
      </c>
      <c r="L54" s="24" t="s">
        <v>92</v>
      </c>
    </row>
    <row r="56" spans="2:12" x14ac:dyDescent="0.2">
      <c r="B56" s="181" t="s">
        <v>131</v>
      </c>
      <c r="C56" s="3"/>
      <c r="D56" s="183" t="s">
        <v>3</v>
      </c>
      <c r="E56" s="183"/>
      <c r="F56" s="183" t="s">
        <v>4</v>
      </c>
      <c r="G56" s="183"/>
      <c r="H56" s="8" t="s">
        <v>124</v>
      </c>
      <c r="I56" s="8" t="s">
        <v>125</v>
      </c>
      <c r="J56" s="8" t="s">
        <v>126</v>
      </c>
      <c r="K56" s="183" t="s">
        <v>127</v>
      </c>
      <c r="L56" s="183"/>
    </row>
    <row r="57" spans="2:12" x14ac:dyDescent="0.2">
      <c r="B57" s="182"/>
      <c r="C57" s="179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7" t="s">
        <v>64</v>
      </c>
      <c r="L57" s="7" t="s">
        <v>53</v>
      </c>
    </row>
    <row r="58" spans="2:12" x14ac:dyDescent="0.2">
      <c r="B58" s="182"/>
      <c r="C58" s="180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7" t="s">
        <v>65</v>
      </c>
      <c r="L58" s="7" t="s">
        <v>239</v>
      </c>
    </row>
    <row r="59" spans="2:12" x14ac:dyDescent="0.2">
      <c r="B59" s="182"/>
      <c r="C59" s="179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7"/>
      <c r="L59" s="7" t="s">
        <v>97</v>
      </c>
    </row>
    <row r="60" spans="2:12" x14ac:dyDescent="0.2">
      <c r="B60" s="182"/>
      <c r="C60" s="180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7"/>
      <c r="L60" s="7" t="s">
        <v>241</v>
      </c>
    </row>
    <row r="61" spans="2:12" x14ac:dyDescent="0.2">
      <c r="B61" s="182"/>
      <c r="C61" s="179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7"/>
      <c r="L61" s="7" t="s">
        <v>273</v>
      </c>
    </row>
    <row r="62" spans="2:12" x14ac:dyDescent="0.2">
      <c r="B62" s="182"/>
      <c r="C62" s="180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7"/>
      <c r="L62" s="7" t="s">
        <v>217</v>
      </c>
    </row>
    <row r="63" spans="2:12" x14ac:dyDescent="0.2">
      <c r="B63" s="182"/>
      <c r="C63" s="179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7"/>
      <c r="L63" s="7" t="s">
        <v>140</v>
      </c>
    </row>
    <row r="64" spans="2:12" x14ac:dyDescent="0.2">
      <c r="B64" s="182"/>
      <c r="C64" s="180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7"/>
      <c r="L64" s="7" t="s">
        <v>213</v>
      </c>
    </row>
    <row r="65" spans="2:12" x14ac:dyDescent="0.2">
      <c r="B65" s="182"/>
      <c r="C65" s="179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7"/>
      <c r="L65" s="7" t="s">
        <v>285</v>
      </c>
    </row>
    <row r="66" spans="2:12" x14ac:dyDescent="0.2">
      <c r="B66" s="182"/>
      <c r="C66" s="180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7"/>
      <c r="L66" s="7" t="s">
        <v>60</v>
      </c>
    </row>
    <row r="67" spans="2:12" x14ac:dyDescent="0.2">
      <c r="B67" s="182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7" t="s">
        <v>66</v>
      </c>
      <c r="L67" s="7" t="s">
        <v>152</v>
      </c>
    </row>
    <row r="69" spans="2:12" hidden="1" x14ac:dyDescent="0.2">
      <c r="B69" s="181" t="s">
        <v>132</v>
      </c>
      <c r="C69" s="3"/>
      <c r="D69" s="183" t="s">
        <v>0</v>
      </c>
      <c r="E69" s="183"/>
      <c r="F69" s="183" t="s">
        <v>1</v>
      </c>
      <c r="G69" s="183"/>
      <c r="H69" s="8" t="s">
        <v>124</v>
      </c>
      <c r="I69" s="8" t="s">
        <v>125</v>
      </c>
      <c r="J69" s="8" t="s">
        <v>126</v>
      </c>
      <c r="K69" s="183" t="s">
        <v>2</v>
      </c>
      <c r="L69" s="183"/>
    </row>
    <row r="70" spans="2:12" hidden="1" x14ac:dyDescent="0.2">
      <c r="B70" s="182"/>
      <c r="C70" s="179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182"/>
      <c r="C71" s="180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182"/>
      <c r="C72" s="179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182"/>
      <c r="C73" s="180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182"/>
      <c r="C74" s="179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182"/>
      <c r="C75" s="180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182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181" t="s">
        <v>133</v>
      </c>
      <c r="C78" s="3"/>
      <c r="D78" s="183" t="s">
        <v>3</v>
      </c>
      <c r="E78" s="183"/>
      <c r="F78" s="183" t="s">
        <v>4</v>
      </c>
      <c r="G78" s="183"/>
      <c r="H78" s="8" t="s">
        <v>124</v>
      </c>
      <c r="I78" s="8" t="s">
        <v>125</v>
      </c>
      <c r="J78" s="8" t="s">
        <v>126</v>
      </c>
      <c r="K78" s="183" t="s">
        <v>127</v>
      </c>
      <c r="L78" s="183"/>
    </row>
    <row r="79" spans="2:12" hidden="1" x14ac:dyDescent="0.2">
      <c r="B79" s="182"/>
      <c r="C79" s="179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182"/>
      <c r="C80" s="180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182"/>
      <c r="C81" s="179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182"/>
      <c r="C82" s="180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182"/>
      <c r="C83" s="179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182"/>
      <c r="C84" s="180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182"/>
      <c r="C85" s="179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182"/>
      <c r="C86" s="180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182"/>
      <c r="C87" s="179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182"/>
      <c r="C88" s="180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182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25:B32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J15"/>
  <sheetViews>
    <sheetView workbookViewId="0">
      <selection activeCell="E46" sqref="E46"/>
    </sheetView>
  </sheetViews>
  <sheetFormatPr baseColWidth="10" defaultColWidth="8.83203125" defaultRowHeight="16" x14ac:dyDescent="0.2"/>
  <cols>
    <col min="1" max="1" width="14.83203125" bestFit="1" customWidth="1"/>
    <col min="2" max="2" width="9.1640625" bestFit="1" customWidth="1"/>
    <col min="3" max="3" width="12.6640625" customWidth="1"/>
    <col min="4" max="4" width="9.5" bestFit="1" customWidth="1"/>
    <col min="7" max="7" width="14.83203125" bestFit="1" customWidth="1"/>
    <col min="8" max="8" width="9.1640625" bestFit="1" customWidth="1"/>
    <col min="9" max="9" width="12.6640625" customWidth="1"/>
    <col min="10" max="10" width="9.5" bestFit="1" customWidth="1"/>
  </cols>
  <sheetData>
    <row r="1" spans="1:10" x14ac:dyDescent="0.2">
      <c r="B1" t="s">
        <v>376</v>
      </c>
      <c r="H1" t="s">
        <v>377</v>
      </c>
    </row>
    <row r="2" spans="1:10" x14ac:dyDescent="0.2">
      <c r="A2" t="s">
        <v>367</v>
      </c>
      <c r="B2">
        <v>0.34200000000000003</v>
      </c>
      <c r="G2" t="s">
        <v>367</v>
      </c>
      <c r="H2">
        <v>5.4610000000000003</v>
      </c>
    </row>
    <row r="3" spans="1:10" x14ac:dyDescent="0.2">
      <c r="A3" t="s">
        <v>368</v>
      </c>
      <c r="B3">
        <v>-1.6E-2</v>
      </c>
      <c r="G3" t="s">
        <v>368</v>
      </c>
      <c r="H3">
        <v>-0.188</v>
      </c>
    </row>
    <row r="4" spans="1:10" x14ac:dyDescent="0.2">
      <c r="A4" t="s">
        <v>369</v>
      </c>
      <c r="B4">
        <v>0</v>
      </c>
      <c r="G4" t="s">
        <v>369</v>
      </c>
      <c r="H4">
        <v>0</v>
      </c>
    </row>
    <row r="5" spans="1:10" x14ac:dyDescent="0.2">
      <c r="A5" t="s">
        <v>370</v>
      </c>
      <c r="B5">
        <v>0.747</v>
      </c>
      <c r="G5" t="s">
        <v>370</v>
      </c>
      <c r="H5">
        <v>1.349</v>
      </c>
    </row>
    <row r="6" spans="1:10" x14ac:dyDescent="0.2">
      <c r="A6" t="s">
        <v>371</v>
      </c>
      <c r="B6">
        <v>-6.6000000000000003E-2</v>
      </c>
      <c r="G6" t="s">
        <v>371</v>
      </c>
      <c r="H6">
        <v>0</v>
      </c>
    </row>
    <row r="7" spans="1:10" x14ac:dyDescent="0.2">
      <c r="A7" t="s">
        <v>372</v>
      </c>
      <c r="B7">
        <v>0</v>
      </c>
      <c r="G7" t="s">
        <v>372</v>
      </c>
      <c r="H7">
        <v>0</v>
      </c>
    </row>
    <row r="10" spans="1:10" x14ac:dyDescent="0.2">
      <c r="A10" t="s">
        <v>375</v>
      </c>
      <c r="B10" t="s">
        <v>366</v>
      </c>
      <c r="C10" t="s">
        <v>374</v>
      </c>
      <c r="D10" t="s">
        <v>373</v>
      </c>
      <c r="G10" t="s">
        <v>375</v>
      </c>
      <c r="H10" t="s">
        <v>366</v>
      </c>
      <c r="I10" t="s">
        <v>374</v>
      </c>
      <c r="J10" t="s">
        <v>373</v>
      </c>
    </row>
    <row r="11" spans="1:10" x14ac:dyDescent="0.2">
      <c r="A11">
        <v>6.2315934999999998</v>
      </c>
      <c r="C11">
        <f>$B$2+$B$5+($B$3+$B$6)*A11</f>
        <v>0.57800933300000001</v>
      </c>
      <c r="G11">
        <v>6.2315934999999998</v>
      </c>
      <c r="I11">
        <f>$H$2+$H$5+($H$3+$H$6)*G11</f>
        <v>5.6384604220000005</v>
      </c>
    </row>
    <row r="12" spans="1:10" x14ac:dyDescent="0.2">
      <c r="A12">
        <v>5.1203884999999998</v>
      </c>
      <c r="C12">
        <f t="shared" ref="C12:C13" si="0">$B$2+$B$5+($B$3+$B$6)*A12</f>
        <v>0.66912814300000001</v>
      </c>
      <c r="G12">
        <v>5.1203884999999998</v>
      </c>
      <c r="I12">
        <f t="shared" ref="I12:I13" si="1">$H$2+$H$5+($H$3+$H$6)*G12</f>
        <v>5.8473669620000006</v>
      </c>
    </row>
    <row r="13" spans="1:10" x14ac:dyDescent="0.2">
      <c r="A13">
        <v>0</v>
      </c>
      <c r="B13">
        <v>0</v>
      </c>
      <c r="C13">
        <f t="shared" si="0"/>
        <v>1.089</v>
      </c>
      <c r="D13">
        <f>$B$2+$B$3*A13</f>
        <v>0.34200000000000003</v>
      </c>
      <c r="G13">
        <v>0</v>
      </c>
      <c r="H13">
        <v>0</v>
      </c>
      <c r="I13">
        <f t="shared" si="1"/>
        <v>6.8100000000000005</v>
      </c>
      <c r="J13">
        <f>$H$2+$H$3*G13</f>
        <v>5.4610000000000003</v>
      </c>
    </row>
    <row r="14" spans="1:10" x14ac:dyDescent="0.2">
      <c r="A14">
        <v>2.1058599999999998</v>
      </c>
      <c r="D14">
        <f t="shared" ref="D14:D15" si="2">$B$2+$B$3*A14</f>
        <v>0.30830624000000001</v>
      </c>
      <c r="G14">
        <v>2.1058599999999998</v>
      </c>
      <c r="J14">
        <f t="shared" ref="J14:J15" si="3">$H$2+$H$3*G14</f>
        <v>5.0650983200000006</v>
      </c>
    </row>
    <row r="15" spans="1:10" x14ac:dyDescent="0.2">
      <c r="A15">
        <v>4.780926</v>
      </c>
      <c r="D15">
        <f t="shared" si="2"/>
        <v>0.26550518400000001</v>
      </c>
      <c r="G15">
        <v>4.780926</v>
      </c>
      <c r="J15">
        <f t="shared" si="3"/>
        <v>4.5621859120000003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7" zoomScale="70" zoomScaleNormal="70" workbookViewId="0">
      <selection activeCell="D32" sqref="D32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B19">
        <f>$B$2+$B$3*A19</f>
        <v>0.22600000000000001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v>0</v>
      </c>
      <c r="B37">
        <f>B6+B7*A37+A37*B8</f>
        <v>0.68400000000000005</v>
      </c>
    </row>
    <row r="38" spans="1:3" x14ac:dyDescent="0.2">
      <c r="A38">
        <f>L8-M8</f>
        <v>2.1058599999999998</v>
      </c>
      <c r="C38">
        <f>B7*(A38)</f>
        <v>-5.4752359999999993E-2</v>
      </c>
    </row>
    <row r="39" spans="1:3" x14ac:dyDescent="0.2">
      <c r="A39">
        <f>L8+M8</f>
        <v>4.780926</v>
      </c>
      <c r="C39">
        <f>B7*A39</f>
        <v>-0.124304076</v>
      </c>
    </row>
    <row r="40" spans="1:3" x14ac:dyDescent="0.2">
      <c r="A40">
        <v>0</v>
      </c>
      <c r="C40">
        <f>B7*A40</f>
        <v>0</v>
      </c>
    </row>
    <row r="41" spans="1:3" x14ac:dyDescent="0.2">
      <c r="B41" t="s">
        <v>127</v>
      </c>
    </row>
    <row r="42" spans="1:3" x14ac:dyDescent="0.2">
      <c r="A42" t="s">
        <v>229</v>
      </c>
      <c r="B42" t="s">
        <v>317</v>
      </c>
      <c r="C42" t="s">
        <v>318</v>
      </c>
    </row>
    <row r="43" spans="1:3" x14ac:dyDescent="0.2">
      <c r="A43">
        <f>L9-M9</f>
        <v>0.40333040000000009</v>
      </c>
      <c r="B43">
        <f>D9*A43+D10*A43</f>
        <v>0.15528220400000003</v>
      </c>
    </row>
    <row r="44" spans="1:3" x14ac:dyDescent="0.2">
      <c r="A44">
        <f>L9+M9</f>
        <v>0.70744960000000001</v>
      </c>
      <c r="B44">
        <f>D9*A44+D10*A44</f>
        <v>0.272368096</v>
      </c>
    </row>
    <row r="45" spans="1:3" x14ac:dyDescent="0.2">
      <c r="A45">
        <f>L10-M10</f>
        <v>0.25836000000000003</v>
      </c>
      <c r="C45">
        <f>D9*A45</f>
        <v>0.12762984000000002</v>
      </c>
    </row>
    <row r="46" spans="1:3" x14ac:dyDescent="0.2">
      <c r="A46">
        <f>L10+M10</f>
        <v>0.63216220000000001</v>
      </c>
      <c r="C46">
        <f>D9*A46</f>
        <v>0.31228812680000001</v>
      </c>
    </row>
    <row r="47" spans="1:3" x14ac:dyDescent="0.2">
      <c r="A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mechanism</vt:lpstr>
      <vt:lpstr>mechanism test table</vt:lpstr>
      <vt:lpstr>robustness check</vt:lpstr>
      <vt:lpstr>Theory</vt:lpstr>
      <vt:lpstr>Result</vt:lpstr>
      <vt:lpstr>Results (with table)</vt:lpstr>
      <vt:lpstr>Literature Review</vt:lpstr>
      <vt:lpstr>interaction plot (20260608)</vt:lpstr>
      <vt:lpstr>table in paper</vt:lpstr>
      <vt:lpstr>Sheet1</vt:lpstr>
      <vt:lpstr>Sheet3</vt:lpstr>
      <vt:lpstr>interaction plot</vt:lpstr>
      <vt:lpstr>'Literature Review'!_Hlk194498603</vt:lpstr>
      <vt:lpstr>'Results (with table)'!_Ref194135344</vt:lpstr>
      <vt:lpstr>'Results (with table)'!_Ref210225085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2026-07-13T06:12:38Z</dcterms:modified>
</cp:coreProperties>
</file>