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writeup/"/>
    </mc:Choice>
  </mc:AlternateContent>
  <xr:revisionPtr revIDLastSave="0" documentId="13_ncr:1_{B8AB4AEA-EDCD-CD4D-B998-D8C4694F227F}" xr6:coauthVersionLast="47" xr6:coauthVersionMax="47" xr10:uidLastSave="{00000000-0000-0000-0000-000000000000}"/>
  <bookViews>
    <workbookView xWindow="0" yWindow="500" windowWidth="38400" windowHeight="19540" activeTab="1" xr2:uid="{30F402B7-E6D8-E34B-8063-713AC97DE139}"/>
  </bookViews>
  <sheets>
    <sheet name="Sheet1" sheetId="1" r:id="rId1"/>
    <sheet name="Sheet3" sheetId="5" r:id="rId2"/>
    <sheet name="interaction plot" sheetId="2" r:id="rId3"/>
    <sheet name="table in pap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5" l="1"/>
  <c r="C12" i="5"/>
  <c r="C10" i="5"/>
  <c r="D13" i="5"/>
  <c r="D14" i="5"/>
  <c r="D12" i="5"/>
  <c r="B37" i="2"/>
  <c r="C40" i="2"/>
  <c r="B19" i="2"/>
  <c r="E33" i="3"/>
  <c r="D33" i="3"/>
  <c r="C33" i="3"/>
  <c r="G32" i="3"/>
  <c r="F32" i="3"/>
  <c r="E32" i="3"/>
  <c r="D32" i="3"/>
  <c r="C32" i="3"/>
  <c r="E31" i="3"/>
  <c r="D31" i="3"/>
  <c r="C31" i="3"/>
  <c r="G30" i="3"/>
  <c r="F30" i="3"/>
  <c r="E30" i="3"/>
  <c r="D30" i="3"/>
  <c r="C30" i="3"/>
  <c r="E41" i="3"/>
  <c r="D41" i="3"/>
  <c r="C41" i="3"/>
  <c r="G40" i="3"/>
  <c r="F40" i="3"/>
  <c r="E40" i="3"/>
  <c r="D40" i="3"/>
  <c r="C40" i="3"/>
  <c r="E39" i="3"/>
  <c r="D39" i="3"/>
  <c r="C39" i="3"/>
  <c r="G38" i="3"/>
  <c r="F38" i="3"/>
  <c r="E38" i="3"/>
  <c r="D38" i="3"/>
  <c r="C38" i="3"/>
  <c r="E37" i="3"/>
  <c r="D37" i="3"/>
  <c r="C37" i="3"/>
  <c r="G36" i="3"/>
  <c r="F36" i="3"/>
  <c r="E36" i="3"/>
  <c r="D36" i="3"/>
  <c r="C36" i="3"/>
  <c r="E35" i="3"/>
  <c r="D35" i="3"/>
  <c r="C35" i="3"/>
  <c r="G34" i="3"/>
  <c r="F34" i="3"/>
  <c r="E34" i="3"/>
  <c r="D34" i="3"/>
  <c r="C34" i="3"/>
  <c r="E29" i="3"/>
  <c r="D29" i="3"/>
  <c r="C29" i="3"/>
  <c r="G28" i="3"/>
  <c r="F28" i="3"/>
  <c r="E28" i="3"/>
  <c r="D28" i="3"/>
  <c r="C28" i="3"/>
  <c r="E27" i="3"/>
  <c r="D27" i="3"/>
  <c r="C27" i="3"/>
  <c r="G26" i="3"/>
  <c r="F26" i="3"/>
  <c r="E26" i="3"/>
  <c r="D26" i="3"/>
  <c r="C26" i="3"/>
  <c r="B43" i="2"/>
  <c r="C46" i="2"/>
  <c r="C45" i="2"/>
  <c r="A25" i="2"/>
  <c r="B25" i="2" s="1"/>
  <c r="A24" i="2"/>
  <c r="B24" i="2" s="1"/>
  <c r="A18" i="2"/>
  <c r="B18" i="2" s="1"/>
  <c r="A17" i="2"/>
  <c r="B17" i="2" s="1"/>
  <c r="A46" i="2"/>
  <c r="A45" i="2"/>
  <c r="A44" i="2"/>
  <c r="B44" i="2" s="1"/>
  <c r="A43" i="2"/>
  <c r="A39" i="2"/>
  <c r="C39" i="2" s="1"/>
  <c r="A38" i="2"/>
  <c r="C38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<sst xmlns="http://schemas.openxmlformats.org/spreadsheetml/2006/main" count="860" uniqueCount="409">
  <si>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</si>
  <si>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</si>
  <si>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</si>
  <si>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</si>
  <si>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</si>
  <si>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</si>
  <si>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</si>
  <si>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</si>
  <si>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</si>
  <si>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</si>
  <si>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</si>
  <si>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</si>
  <si>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</si>
  <si>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</si>
  <si>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</si>
  <si>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</si>
  <si>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</si>
  <si>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</si>
  <si>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</si>
  <si>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</si>
  <si>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</si>
  <si>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</si>
  <si>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</si>
  <si>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</si>
  <si>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</si>
  <si>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</si>
  <si>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</si>
  <si>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</si>
  <si>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</si>
  <si>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</si>
  <si>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</si>
  <si>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</si>
  <si>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</si>
  <si>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</si>
  <si>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</si>
  <si>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</si>
  <si>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</si>
  <si>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</si>
  <si>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</si>
  <si>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</si>
  <si>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</si>
  <si>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</si>
  <si>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</si>
  <si>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</si>
  <si>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</si>
  <si>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</si>
  <si>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</si>
  <si>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</si>
  <si>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</si>
  <si>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</si>
  <si>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</si>
  <si>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</si>
  <si>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</si>
  <si>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</si>
  <si>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</si>
  <si>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</si>
  <si>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</si>
  <si>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</si>
  <si>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</si>
  <si>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</si>
  <si>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</si>
  <si>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</si>
  <si>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</si>
  <si>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</si>
  <si>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</si>
  <si>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</si>
  <si>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</si>
  <si>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</si>
  <si>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</si>
  <si>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</si>
  <si>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</si>
  <si>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</si>
  <si>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</si>
  <si>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</si>
  <si>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</si>
  <si>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</si>
  <si>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</si>
  <si>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</si>
  <si>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</si>
  <si>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</si>
  <si>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</si>
  <si>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</si>
  <si>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</si>
  <si>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</si>
  <si>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</si>
  <si>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</si>
  <si>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</si>
  <si>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</si>
  <si>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</si>
  <si>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</si>
  <si>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</si>
  <si>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</si>
  <si>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</si>
  <si>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</si>
  <si>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</si>
  <si>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</si>
  <si>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</si>
  <si>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</si>
  <si>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</si>
  <si>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</si>
  <si>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</si>
  <si>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</si>
  <si>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</si>
  <si>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</si>
  <si>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</si>
  <si>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</si>
  <si>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</si>
  <si>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</si>
  <si>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</si>
  <si>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</si>
  <si>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</si>
  <si>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</si>
  <si>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</si>
  <si>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</si>
  <si>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</si>
  <si>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</si>
  <si>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</si>
  <si>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</si>
  <si>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</si>
  <si>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</si>
  <si>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</si>
  <si>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</si>
  <si>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</si>
  <si>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</si>
  <si>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</si>
  <si>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</si>
  <si>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</si>
  <si>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</si>
  <si>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</si>
  <si>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</si>
  <si>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</si>
  <si>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</si>
  <si>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</si>
  <si>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</si>
  <si>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</si>
  <si>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</si>
  <si>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</si>
  <si>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</si>
  <si>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</si>
  <si>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</si>
  <si>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</si>
  <si>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</si>
  <si>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</si>
  <si>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</si>
  <si>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</si>
  <si>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</si>
  <si>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</si>
  <si>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</si>
  <si>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</si>
  <si>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</si>
  <si>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</si>
  <si>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</si>
  <si>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</si>
  <si>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</si>
  <si>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</si>
  <si>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</si>
  <si>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</si>
  <si>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</si>
  <si>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</si>
  <si>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</si>
  <si>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</si>
  <si>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</si>
  <si>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</si>
  <si>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</si>
  <si>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</si>
  <si>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</si>
  <si>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</si>
  <si>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</si>
  <si>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</si>
  <si>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</si>
  <si>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</si>
  <si>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</si>
  <si>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</si>
  <si>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</si>
  <si>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</si>
  <si>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</si>
  <si>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</si>
  <si>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</si>
  <si>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</si>
  <si>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</si>
  <si>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</si>
  <si>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</si>
  <si>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</si>
  <si>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</si>
  <si>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</si>
  <si>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</si>
  <si>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</si>
  <si>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</si>
  <si>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</si>
  <si>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</si>
  <si>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</si>
  <si>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</si>
  <si>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</si>
  <si>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</si>
  <si>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</si>
  <si>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</si>
  <si>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</si>
  <si>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</si>
  <si>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</si>
  <si>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</si>
  <si>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</si>
  <si>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</si>
  <si>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</si>
  <si>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</si>
  <si>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</si>
  <si>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</si>
  <si>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</si>
  <si>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</si>
  <si>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</si>
  <si>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</si>
  <si>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</si>
  <si>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</si>
  <si>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</si>
  <si>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</si>
  <si>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</si>
  <si>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</si>
  <si>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</si>
  <si>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</si>
  <si>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</si>
  <si>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</si>
  <si>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</si>
  <si>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</si>
  <si>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</si>
  <si>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</si>
  <si>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</si>
  <si>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</si>
  <si>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</si>
  <si>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</si>
  <si>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</si>
  <si>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</si>
  <si>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</si>
  <si>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</si>
  <si>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</si>
  <si>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</si>
  <si>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</si>
  <si>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</si>
  <si>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</si>
  <si>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</si>
  <si>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</si>
  <si>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</si>
  <si>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</si>
  <si>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</si>
  <si>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</si>
  <si>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</si>
  <si>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</si>
  <si>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</si>
  <si>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</si>
  <si>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</si>
  <si>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</si>
  <si>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</si>
  <si>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</si>
  <si>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</si>
  <si>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</si>
  <si>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</si>
  <si>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</si>
  <si>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</si>
  <si>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</si>
  <si>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</si>
  <si>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</si>
  <si>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</si>
  <si>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</si>
  <si>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</si>
  <si>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</si>
  <si>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</si>
  <si>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</si>
  <si>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</si>
  <si>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</si>
  <si>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</si>
  <si>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</si>
  <si>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</si>
  <si>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</si>
  <si>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</si>
  <si>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</si>
  <si>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</si>
  <si>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</si>
  <si>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</si>
  <si>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</si>
  <si>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</si>
  <si>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</si>
  <si>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</si>
  <si>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</si>
  <si>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</si>
  <si>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</si>
  <si>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</si>
  <si>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</si>
  <si>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</si>
  <si>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</si>
  <si>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</si>
  <si>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</si>
  <si>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</si>
  <si>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</si>
  <si>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</si>
  <si>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</si>
  <si>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</si>
  <si>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</si>
  <si>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</si>
  <si>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</si>
  <si>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</si>
  <si>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</si>
  <si>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</si>
  <si>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</si>
  <si>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</si>
  <si>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</si>
  <si>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</si>
  <si>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</si>
  <si>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</si>
  <si>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</si>
  <si>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</si>
  <si>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</si>
  <si>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</si>
  <si>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</si>
  <si>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</si>
  <si>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</si>
  <si>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</si>
  <si>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</si>
  <si>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</si>
  <si>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</si>
  <si>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</si>
  <si>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</si>
  <si>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</si>
  <si>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</si>
  <si>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</si>
  <si>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</si>
  <si>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</si>
  <si>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</si>
  <si>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</si>
  <si>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</si>
  <si>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</si>
  <si>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</si>
  <si>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</si>
  <si>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</si>
  <si>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</si>
  <si>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</si>
  <si>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</si>
  <si>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</si>
  <si>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</si>
  <si>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</si>
  <si>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</si>
  <si>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</si>
  <si>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</si>
  <si>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</si>
  <si>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</si>
  <si>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</si>
  <si>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</si>
  <si>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</si>
  <si>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</si>
  <si>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</si>
  <si>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</si>
  <si>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</si>
  <si>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</si>
  <si>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</si>
  <si>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</si>
  <si>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</si>
  <si>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</si>
  <si>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</si>
  <si>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</si>
  <si>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</si>
  <si>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</si>
  <si>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</si>
  <si>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</si>
  <si>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</si>
  <si>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</si>
  <si>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</si>
  <si>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</si>
  <si>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</si>
  <si>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</si>
  <si>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</si>
  <si>
    <t>Has1stAns</t>
  </si>
  <si>
    <t>1stLength</t>
  </si>
  <si>
    <t>1stSimTrue</t>
  </si>
  <si>
    <t>1stAI</t>
  </si>
  <si>
    <t>1stAI*1stLength</t>
  </si>
  <si>
    <t>1stAI*1stSimTrue</t>
  </si>
  <si>
    <t>1st Human</t>
  </si>
  <si>
    <t>1st AI</t>
  </si>
  <si>
    <t>Length</t>
  </si>
  <si>
    <t>has1Ans</t>
  </si>
  <si>
    <t>0.216 ***</t>
  </si>
  <si>
    <t>0.342 ***</t>
  </si>
  <si>
    <t>5.084 ***</t>
  </si>
  <si>
    <t>5.461 ***</t>
  </si>
  <si>
    <t>log_textLengthCN1Ans_fillna</t>
  </si>
  <si>
    <t>0.050 ***</t>
  </si>
  <si>
    <t>-0.016 .</t>
  </si>
  <si>
    <t>-0.188 ***</t>
  </si>
  <si>
    <t>SimWithOpus1Ans_fillna</t>
  </si>
  <si>
    <t>0.083 .</t>
  </si>
  <si>
    <t>0.747 ***</t>
  </si>
  <si>
    <t>1.349 *</t>
  </si>
  <si>
    <t>AI:log_textLengthCN1Ans_fillna</t>
  </si>
  <si>
    <t>-0.066 **</t>
  </si>
  <si>
    <t>AI:SimWithOpus1Ans_fillna</t>
  </si>
  <si>
    <t>(0.037)</t>
  </si>
  <si>
    <t>(0.040)</t>
  </si>
  <si>
    <t>(1.012)</t>
  </si>
  <si>
    <t>(1.022)</t>
  </si>
  <si>
    <t>(0.006)</t>
  </si>
  <si>
    <t>(0.030)</t>
  </si>
  <si>
    <t>0.061</t>
  </si>
  <si>
    <t>0.183</t>
  </si>
  <si>
    <t>(0.233)</t>
  </si>
  <si>
    <t>(0.344)</t>
  </si>
  <si>
    <t>(0.128)</t>
  </si>
  <si>
    <t>(0.532)</t>
  </si>
  <si>
    <t>-0.094</t>
  </si>
  <si>
    <t>-0.129</t>
  </si>
  <si>
    <t>-0.225</t>
  </si>
  <si>
    <t>(0.092)</t>
  </si>
  <si>
    <t>(0.447)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</si>
</sst>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64234951881014868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Sheet3!$C$9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5F6-8FF0-8DF1CF18678A}"/>
              </c:ext>
            </c:extLst>
          </c:dPt>
          <c:xVal>
            <c:numRef>
              <c:f>Sheet3!$A$10:$A$14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Sheet3!$C$10:$C$14</c:f>
              <c:numCache>
                <c:formatCode>General</c:formatCode>
                <c:ptCount val="5"/>
                <c:pt idx="0">
                  <c:v>0.59508295899999997</c:v>
                </c:pt>
                <c:pt idx="1">
                  <c:v>0.69064658899999998</c:v>
                </c:pt>
                <c:pt idx="2">
                  <c:v>1.131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A-45F6-8FF0-8DF1CF18678A}"/>
            </c:ext>
          </c:extLst>
        </c:ser>
        <c:ser>
          <c:idx val="2"/>
          <c:order val="1"/>
          <c:tx>
            <c:strRef>
              <c:f>Sheet3!$D$9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A-45F6-8FF0-8DF1CF18678A}"/>
              </c:ext>
            </c:extLst>
          </c:dPt>
          <c:xVal>
            <c:numRef>
              <c:f>Sheet3!$A$10:$A$14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Sheet3!$D$10:$D$14</c:f>
              <c:numCache>
                <c:formatCode>General</c:formatCode>
                <c:ptCount val="5"/>
                <c:pt idx="2">
                  <c:v>0.38200000000000001</c:v>
                </c:pt>
                <c:pt idx="3">
                  <c:v>0.33777694000000003</c:v>
                </c:pt>
                <c:pt idx="4">
                  <c:v>0.281600554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A-45F6-8FF0-8DF1CF18678A}"/>
            </c:ext>
          </c:extLst>
        </c:ser>
        <c:ser>
          <c:idx val="0"/>
          <c:order val="2"/>
          <c:tx>
            <c:strRef>
              <c:f>Sheet3!$B$9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Sheet3!$A$10:$A$14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Sheet3!$B$10:$B$14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A-45F6-8FF0-8DF1CF18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059930008748892"/>
          <c:y val="0.35243000874890645"/>
          <c:w val="0.1849125109361329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10</xdr:row>
      <xdr:rowOff>28575</xdr:rowOff>
    </xdr:from>
    <xdr:to>
      <xdr:col>14</xdr:col>
      <xdr:colOff>50800</xdr:colOff>
      <xdr:row>23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9649-D9AA-EEB2-F5E0-AC9A3442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33</xdr:row>
      <xdr:rowOff>0</xdr:rowOff>
    </xdr:from>
    <xdr:to>
      <xdr:col>10</xdr:col>
      <xdr:colOff>473261</xdr:colOff>
      <xdr:row>51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12700</xdr:rowOff>
    </xdr:from>
    <xdr:to>
      <xdr:col>17</xdr:col>
      <xdr:colOff>606612</xdr:colOff>
      <xdr:row>51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37352</xdr:colOff>
      <xdr:row>32</xdr:row>
      <xdr:rowOff>164353</xdr:rowOff>
    </xdr:from>
    <xdr:to>
      <xdr:col>10</xdr:col>
      <xdr:colOff>510613</xdr:colOff>
      <xdr:row>48</xdr:row>
      <xdr:rowOff>153147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374650</xdr:colOff>
      <xdr:row>0</xdr:row>
      <xdr:rowOff>177800</xdr:rowOff>
    </xdr:from>
    <xdr:to>
      <xdr:col>22</xdr:col>
      <xdr:colOff>601756</xdr:colOff>
      <xdr:row>10</xdr:row>
      <xdr:rowOff>69327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0350" y="177800"/>
          <a:ext cx="5611906" cy="192352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K56" sqref="K56:L67"/>
    </sheetView>
  </sheetViews>
  <sheetFormatPr baseColWidth="10" defaultColWidth="10.83203125" defaultRowHeight="16" x14ac:dyDescent="0.2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 x14ac:dyDescent="0.2"/>
    <row r="2" spans="2:12" hidden="1" x14ac:dyDescent="0.2">
      <c r="B2" s="27" t="s">
        <v>179</v>
      </c>
      <c r="C2" s="3"/>
      <c r="D2" s="29" t="s">
        <v>0</v>
      </c>
      <c r="E2" s="29"/>
      <c r="F2" s="29" t="s">
        <v>1</v>
      </c>
      <c r="G2" s="29"/>
      <c r="H2" s="8" t="s">
        <v>124</v>
      </c>
      <c r="I2" s="8" t="s">
        <v>125</v>
      </c>
      <c r="J2" s="8" t="s">
        <v>126</v>
      </c>
      <c r="K2" s="29" t="s">
        <v>2</v>
      </c>
      <c r="L2" s="29"/>
    </row>
    <row r="3" spans="2:12" hidden="1" x14ac:dyDescent="0.2">
      <c r="B3" s="28"/>
      <c r="C3" s="25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 x14ac:dyDescent="0.2">
      <c r="B4" s="28"/>
      <c r="C4" s="26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 x14ac:dyDescent="0.2">
      <c r="B5" s="28"/>
      <c r="C5" s="25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 x14ac:dyDescent="0.2">
      <c r="B6" s="28"/>
      <c r="C6" s="26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 x14ac:dyDescent="0.2">
      <c r="B7" s="28"/>
      <c r="C7" s="25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 x14ac:dyDescent="0.2">
      <c r="B8" s="28"/>
      <c r="C8" s="26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 x14ac:dyDescent="0.2">
      <c r="B9" s="28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 x14ac:dyDescent="0.2"/>
    <row r="11" spans="2:12" hidden="1" x14ac:dyDescent="0.2">
      <c r="B11" s="27" t="s">
        <v>180</v>
      </c>
      <c r="C11" s="3"/>
      <c r="D11" s="29" t="s">
        <v>3</v>
      </c>
      <c r="E11" s="29"/>
      <c r="F11" s="29" t="s">
        <v>4</v>
      </c>
      <c r="G11" s="29"/>
      <c r="H11" s="8" t="s">
        <v>124</v>
      </c>
      <c r="I11" s="8" t="s">
        <v>125</v>
      </c>
      <c r="J11" s="8" t="s">
        <v>126</v>
      </c>
      <c r="K11" s="29" t="s">
        <v>127</v>
      </c>
      <c r="L11" s="29"/>
    </row>
    <row r="12" spans="2:12" hidden="1" x14ac:dyDescent="0.2">
      <c r="B12" s="28"/>
      <c r="C12" s="25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 x14ac:dyDescent="0.2">
      <c r="B13" s="28"/>
      <c r="C13" s="26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 x14ac:dyDescent="0.2">
      <c r="B14" s="28"/>
      <c r="C14" s="25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 x14ac:dyDescent="0.2">
      <c r="B15" s="28"/>
      <c r="C15" s="26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 x14ac:dyDescent="0.2">
      <c r="B16" s="28"/>
      <c r="C16" s="25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 x14ac:dyDescent="0.2">
      <c r="B17" s="28"/>
      <c r="C17" s="26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 x14ac:dyDescent="0.2">
      <c r="B18" s="28"/>
      <c r="C18" s="25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 x14ac:dyDescent="0.2">
      <c r="B19" s="28"/>
      <c r="C19" s="26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 x14ac:dyDescent="0.2">
      <c r="B20" s="28"/>
      <c r="C20" s="25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 x14ac:dyDescent="0.2">
      <c r="B21" s="28"/>
      <c r="C21" s="26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 x14ac:dyDescent="0.2">
      <c r="B22" s="28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 x14ac:dyDescent="0.2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 x14ac:dyDescent="0.2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 x14ac:dyDescent="0.2">
      <c r="B25" s="27" t="s">
        <v>177</v>
      </c>
      <c r="C25" s="3"/>
      <c r="D25" s="29" t="s">
        <v>0</v>
      </c>
      <c r="E25" s="29"/>
      <c r="F25" s="29" t="s">
        <v>1</v>
      </c>
      <c r="G25" s="29"/>
      <c r="H25" s="8" t="s">
        <v>124</v>
      </c>
      <c r="I25" s="8" t="s">
        <v>125</v>
      </c>
      <c r="J25" s="8" t="s">
        <v>126</v>
      </c>
      <c r="K25" s="29" t="s">
        <v>2</v>
      </c>
      <c r="L25" s="29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 x14ac:dyDescent="0.2">
      <c r="B26" s="28"/>
      <c r="C26" s="25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 x14ac:dyDescent="0.2">
      <c r="B27" s="28"/>
      <c r="C27" s="26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 x14ac:dyDescent="0.2">
      <c r="B28" s="28"/>
      <c r="C28" s="25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 x14ac:dyDescent="0.2">
      <c r="B29" s="28"/>
      <c r="C29" s="26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 x14ac:dyDescent="0.2">
      <c r="B30" s="28"/>
      <c r="C30" s="25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 x14ac:dyDescent="0.2">
      <c r="B31" s="28"/>
      <c r="C31" s="26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 x14ac:dyDescent="0.2">
      <c r="B32" s="28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 x14ac:dyDescent="0.2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 x14ac:dyDescent="0.2">
      <c r="B34" s="27" t="s">
        <v>178</v>
      </c>
      <c r="C34" s="3"/>
      <c r="D34" s="29" t="s">
        <v>3</v>
      </c>
      <c r="E34" s="29"/>
      <c r="F34" s="29" t="s">
        <v>4</v>
      </c>
      <c r="G34" s="29"/>
      <c r="H34" s="8" t="s">
        <v>124</v>
      </c>
      <c r="I34" s="8" t="s">
        <v>125</v>
      </c>
      <c r="J34" s="8" t="s">
        <v>126</v>
      </c>
      <c r="K34" s="29" t="s">
        <v>127</v>
      </c>
      <c r="L34" s="29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 x14ac:dyDescent="0.2">
      <c r="B35" s="28"/>
      <c r="C35" s="25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 x14ac:dyDescent="0.2">
      <c r="B36" s="28"/>
      <c r="C36" s="26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 x14ac:dyDescent="0.2">
      <c r="B37" s="28"/>
      <c r="C37" s="25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 x14ac:dyDescent="0.2">
      <c r="B38" s="28"/>
      <c r="C38" s="26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 x14ac:dyDescent="0.2">
      <c r="B39" s="28"/>
      <c r="C39" s="25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 x14ac:dyDescent="0.2">
      <c r="B40" s="28"/>
      <c r="C40" s="26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 x14ac:dyDescent="0.2">
      <c r="B41" s="28"/>
      <c r="C41" s="25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 x14ac:dyDescent="0.2">
      <c r="B42" s="28"/>
      <c r="C42" s="26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 x14ac:dyDescent="0.2">
      <c r="B43" s="28"/>
      <c r="C43" s="25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 x14ac:dyDescent="0.2">
      <c r="B44" s="28"/>
      <c r="C44" s="26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 x14ac:dyDescent="0.2">
      <c r="B45" s="28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 x14ac:dyDescent="0.2"/>
    <row r="47" spans="2:24" x14ac:dyDescent="0.2">
      <c r="B47" s="27" t="s">
        <v>130</v>
      </c>
      <c r="C47" s="3"/>
      <c r="D47" s="29" t="s">
        <v>0</v>
      </c>
      <c r="E47" s="29"/>
      <c r="F47" s="29" t="s">
        <v>1</v>
      </c>
      <c r="G47" s="29"/>
      <c r="H47" s="13" t="s">
        <v>124</v>
      </c>
      <c r="I47" s="13" t="s">
        <v>125</v>
      </c>
      <c r="J47" s="13" t="s">
        <v>126</v>
      </c>
      <c r="K47" s="30" t="s">
        <v>2</v>
      </c>
      <c r="L47" s="30"/>
    </row>
    <row r="48" spans="2:24" x14ac:dyDescent="0.2">
      <c r="B48" s="28"/>
      <c r="C48" s="25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13" t="s">
        <v>69</v>
      </c>
      <c r="I48" s="13" t="s">
        <v>70</v>
      </c>
      <c r="J48" s="13" t="s">
        <v>71</v>
      </c>
      <c r="K48" s="13" t="s">
        <v>9</v>
      </c>
      <c r="L48" s="13" t="s">
        <v>72</v>
      </c>
    </row>
    <row r="49" spans="2:12" x14ac:dyDescent="0.2">
      <c r="B49" s="28"/>
      <c r="C49" s="26"/>
      <c r="D49" s="4" t="s">
        <v>16</v>
      </c>
      <c r="E49" s="4" t="s">
        <v>30</v>
      </c>
      <c r="F49" s="4" t="s">
        <v>18</v>
      </c>
      <c r="G49" s="4" t="s">
        <v>73</v>
      </c>
      <c r="H49" s="13" t="s">
        <v>74</v>
      </c>
      <c r="I49" s="13" t="s">
        <v>51</v>
      </c>
      <c r="J49" s="13" t="s">
        <v>75</v>
      </c>
      <c r="K49" s="13" t="s">
        <v>22</v>
      </c>
      <c r="L49" s="13" t="s">
        <v>30</v>
      </c>
    </row>
    <row r="50" spans="2:12" x14ac:dyDescent="0.2">
      <c r="B50" s="28"/>
      <c r="C50" s="25" t="s">
        <v>11</v>
      </c>
      <c r="D50" s="4"/>
      <c r="E50" s="4" t="s">
        <v>76</v>
      </c>
      <c r="F50" s="4"/>
      <c r="G50" s="4" t="s">
        <v>77</v>
      </c>
      <c r="H50" s="13" t="s">
        <v>53</v>
      </c>
      <c r="I50" s="13" t="s">
        <v>56</v>
      </c>
      <c r="J50" s="13" t="s">
        <v>55</v>
      </c>
      <c r="K50" s="13"/>
      <c r="L50" s="13" t="s">
        <v>41</v>
      </c>
    </row>
    <row r="51" spans="2:12" x14ac:dyDescent="0.2">
      <c r="B51" s="28"/>
      <c r="C51" s="26"/>
      <c r="D51" s="4"/>
      <c r="E51" s="4" t="s">
        <v>26</v>
      </c>
      <c r="F51" s="4"/>
      <c r="G51" s="4" t="s">
        <v>78</v>
      </c>
      <c r="H51" s="13" t="s">
        <v>57</v>
      </c>
      <c r="I51" s="13" t="s">
        <v>28</v>
      </c>
      <c r="J51" s="13" t="s">
        <v>26</v>
      </c>
      <c r="K51" s="13"/>
      <c r="L51" s="13" t="s">
        <v>26</v>
      </c>
    </row>
    <row r="52" spans="2:12" x14ac:dyDescent="0.2">
      <c r="B52" s="28"/>
      <c r="C52" s="25" t="s">
        <v>79</v>
      </c>
      <c r="D52" s="4"/>
      <c r="E52" s="4" t="s">
        <v>80</v>
      </c>
      <c r="F52" s="4"/>
      <c r="G52" s="4" t="s">
        <v>81</v>
      </c>
      <c r="H52" s="13" t="s">
        <v>82</v>
      </c>
      <c r="I52" s="13" t="s">
        <v>83</v>
      </c>
      <c r="J52" s="13" t="s">
        <v>84</v>
      </c>
      <c r="K52" s="13"/>
      <c r="L52" s="13" t="s">
        <v>42</v>
      </c>
    </row>
    <row r="53" spans="2:12" x14ac:dyDescent="0.2">
      <c r="B53" s="28"/>
      <c r="C53" s="26"/>
      <c r="D53" s="4"/>
      <c r="E53" s="4" t="s">
        <v>85</v>
      </c>
      <c r="F53" s="4"/>
      <c r="G53" s="4" t="s">
        <v>86</v>
      </c>
      <c r="H53" s="13" t="s">
        <v>87</v>
      </c>
      <c r="I53" s="13" t="s">
        <v>88</v>
      </c>
      <c r="J53" s="13" t="s">
        <v>36</v>
      </c>
      <c r="K53" s="13"/>
      <c r="L53" s="13" t="s">
        <v>89</v>
      </c>
    </row>
    <row r="54" spans="2:12" x14ac:dyDescent="0.2">
      <c r="B54" s="28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13" t="s">
        <v>91</v>
      </c>
      <c r="I54" s="13" t="s">
        <v>91</v>
      </c>
      <c r="J54" s="13" t="s">
        <v>91</v>
      </c>
      <c r="K54" s="13" t="s">
        <v>40</v>
      </c>
      <c r="L54" s="13" t="s">
        <v>92</v>
      </c>
    </row>
    <row r="56" spans="2:12" x14ac:dyDescent="0.2">
      <c r="B56" s="27" t="s">
        <v>131</v>
      </c>
      <c r="C56" s="3"/>
      <c r="D56" s="29" t="s">
        <v>3</v>
      </c>
      <c r="E56" s="29"/>
      <c r="F56" s="29" t="s">
        <v>4</v>
      </c>
      <c r="G56" s="29"/>
      <c r="H56" s="8" t="s">
        <v>124</v>
      </c>
      <c r="I56" s="8" t="s">
        <v>125</v>
      </c>
      <c r="J56" s="8" t="s">
        <v>126</v>
      </c>
      <c r="K56" s="29" t="s">
        <v>127</v>
      </c>
      <c r="L56" s="29"/>
    </row>
    <row r="57" spans="2:12" x14ac:dyDescent="0.2">
      <c r="B57" s="28"/>
      <c r="C57" s="25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4" t="s">
        <v>64</v>
      </c>
      <c r="L57" s="4" t="s">
        <v>53</v>
      </c>
    </row>
    <row r="58" spans="2:12" x14ac:dyDescent="0.2">
      <c r="B58" s="28"/>
      <c r="C58" s="26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4" t="s">
        <v>65</v>
      </c>
      <c r="L58" s="4" t="s">
        <v>239</v>
      </c>
    </row>
    <row r="59" spans="2:12" x14ac:dyDescent="0.2">
      <c r="B59" s="28"/>
      <c r="C59" s="25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4"/>
      <c r="L59" s="4" t="s">
        <v>97</v>
      </c>
    </row>
    <row r="60" spans="2:12" x14ac:dyDescent="0.2">
      <c r="B60" s="28"/>
      <c r="C60" s="26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4"/>
      <c r="L60" s="4" t="s">
        <v>241</v>
      </c>
    </row>
    <row r="61" spans="2:12" x14ac:dyDescent="0.2">
      <c r="B61" s="28"/>
      <c r="C61" s="25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4"/>
      <c r="L61" s="4" t="s">
        <v>273</v>
      </c>
    </row>
    <row r="62" spans="2:12" x14ac:dyDescent="0.2">
      <c r="B62" s="28"/>
      <c r="C62" s="26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4"/>
      <c r="L62" s="4" t="s">
        <v>217</v>
      </c>
    </row>
    <row r="63" spans="2:12" x14ac:dyDescent="0.2">
      <c r="B63" s="28"/>
      <c r="C63" s="25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4"/>
      <c r="L63" s="4" t="s">
        <v>140</v>
      </c>
    </row>
    <row r="64" spans="2:12" x14ac:dyDescent="0.2">
      <c r="B64" s="28"/>
      <c r="C64" s="26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4"/>
      <c r="L64" s="4" t="s">
        <v>213</v>
      </c>
    </row>
    <row r="65" spans="2:12" x14ac:dyDescent="0.2">
      <c r="B65" s="28"/>
      <c r="C65" s="25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4"/>
      <c r="L65" s="4" t="s">
        <v>285</v>
      </c>
    </row>
    <row r="66" spans="2:12" x14ac:dyDescent="0.2">
      <c r="B66" s="28"/>
      <c r="C66" s="26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4"/>
      <c r="L66" s="4" t="s">
        <v>60</v>
      </c>
    </row>
    <row r="67" spans="2:12" x14ac:dyDescent="0.2">
      <c r="B67" s="28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4" t="s">
        <v>66</v>
      </c>
      <c r="L67" s="4" t="s">
        <v>152</v>
      </c>
    </row>
    <row r="69" spans="2:12" hidden="1" x14ac:dyDescent="0.2">
      <c r="B69" s="27" t="s">
        <v>132</v>
      </c>
      <c r="C69" s="3"/>
      <c r="D69" s="29" t="s">
        <v>0</v>
      </c>
      <c r="E69" s="29"/>
      <c r="F69" s="29" t="s">
        <v>1</v>
      </c>
      <c r="G69" s="29"/>
      <c r="H69" s="8" t="s">
        <v>124</v>
      </c>
      <c r="I69" s="8" t="s">
        <v>125</v>
      </c>
      <c r="J69" s="8" t="s">
        <v>126</v>
      </c>
      <c r="K69" s="29" t="s">
        <v>2</v>
      </c>
      <c r="L69" s="29"/>
    </row>
    <row r="70" spans="2:12" hidden="1" x14ac:dyDescent="0.2">
      <c r="B70" s="28"/>
      <c r="C70" s="25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 x14ac:dyDescent="0.2">
      <c r="B71" s="28"/>
      <c r="C71" s="26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 x14ac:dyDescent="0.2">
      <c r="B72" s="28"/>
      <c r="C72" s="25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 x14ac:dyDescent="0.2">
      <c r="B73" s="28"/>
      <c r="C73" s="26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 x14ac:dyDescent="0.2">
      <c r="B74" s="28"/>
      <c r="C74" s="25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 x14ac:dyDescent="0.2">
      <c r="B75" s="28"/>
      <c r="C75" s="26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 x14ac:dyDescent="0.2">
      <c r="B76" s="28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 x14ac:dyDescent="0.2"/>
    <row r="78" spans="2:12" hidden="1" x14ac:dyDescent="0.2">
      <c r="B78" s="27" t="s">
        <v>133</v>
      </c>
      <c r="C78" s="3"/>
      <c r="D78" s="29" t="s">
        <v>3</v>
      </c>
      <c r="E78" s="29"/>
      <c r="F78" s="29" t="s">
        <v>4</v>
      </c>
      <c r="G78" s="29"/>
      <c r="H78" s="8" t="s">
        <v>124</v>
      </c>
      <c r="I78" s="8" t="s">
        <v>125</v>
      </c>
      <c r="J78" s="8" t="s">
        <v>126</v>
      </c>
      <c r="K78" s="29" t="s">
        <v>127</v>
      </c>
      <c r="L78" s="29"/>
    </row>
    <row r="79" spans="2:12" hidden="1" x14ac:dyDescent="0.2">
      <c r="B79" s="28"/>
      <c r="C79" s="25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 x14ac:dyDescent="0.2">
      <c r="B80" s="28"/>
      <c r="C80" s="26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 x14ac:dyDescent="0.2">
      <c r="B81" s="28"/>
      <c r="C81" s="25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 x14ac:dyDescent="0.2">
      <c r="B82" s="28"/>
      <c r="C82" s="26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 x14ac:dyDescent="0.2">
      <c r="B83" s="28"/>
      <c r="C83" s="25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 x14ac:dyDescent="0.2">
      <c r="B84" s="28"/>
      <c r="C84" s="26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 x14ac:dyDescent="0.2">
      <c r="B85" s="28"/>
      <c r="C85" s="25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 x14ac:dyDescent="0.2">
      <c r="B86" s="28"/>
      <c r="C86" s="26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 x14ac:dyDescent="0.2">
      <c r="B87" s="28"/>
      <c r="C87" s="25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 x14ac:dyDescent="0.2">
      <c r="B88" s="28"/>
      <c r="C88" s="26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 x14ac:dyDescent="0.2">
      <c r="B89" s="28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 x14ac:dyDescent="0.2"/>
  </sheetData>
  <mergeCells count="64"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25:B32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9C1-F4F3-4E3A-8CE8-2113D4F28B6B}">
  <dimension ref="A1:V15"/>
  <sheetViews>
    <sheetView tabSelected="1" workbookViewId="0">
      <selection activeCell="R17" sqref="R17"/>
    </sheetView>
  </sheetViews>
  <sheetFormatPr baseColWidth="10" defaultColWidth="8.83203125" defaultRowHeight="16" x14ac:dyDescent="0.2"/>
  <cols>
    <col min="1" max="1" width="14.83203125" bestFit="1" customWidth="1"/>
    <col min="2" max="2" width="9.1640625" bestFit="1" customWidth="1"/>
    <col min="3" max="3" width="12.6640625" customWidth="1"/>
    <col min="4" max="4" width="9.5" bestFit="1" customWidth="1"/>
    <col min="17" max="17" width="26.6640625" style="1" bestFit="1" customWidth="1"/>
    <col min="18" max="19" width="17.1640625" style="1" bestFit="1" customWidth="1"/>
    <col min="20" max="21" width="23.1640625" style="1" bestFit="1" customWidth="1"/>
    <col min="22" max="22" width="8.83203125" style="1"/>
  </cols>
  <sheetData>
    <row r="1" spans="1:21" x14ac:dyDescent="0.2">
      <c r="A1" t="s">
        <v>367</v>
      </c>
      <c r="B1">
        <v>0.38200000000000001</v>
      </c>
    </row>
    <row r="2" spans="1:21" x14ac:dyDescent="0.2">
      <c r="A2" t="s">
        <v>368</v>
      </c>
      <c r="B2">
        <v>-2.1000000000000001E-2</v>
      </c>
      <c r="R2" s="1" t="s">
        <v>3</v>
      </c>
      <c r="S2" s="1" t="s">
        <v>3</v>
      </c>
      <c r="T2" s="1" t="s">
        <v>4</v>
      </c>
      <c r="U2" s="1" t="s">
        <v>4</v>
      </c>
    </row>
    <row r="3" spans="1:21" x14ac:dyDescent="0.2">
      <c r="A3" t="s">
        <v>369</v>
      </c>
      <c r="B3">
        <v>0</v>
      </c>
      <c r="Q3" s="1" t="s">
        <v>376</v>
      </c>
      <c r="R3" s="1" t="s">
        <v>377</v>
      </c>
      <c r="S3" s="1" t="s">
        <v>378</v>
      </c>
      <c r="T3" s="1" t="s">
        <v>379</v>
      </c>
      <c r="U3" s="1" t="s">
        <v>380</v>
      </c>
    </row>
    <row r="4" spans="1:21" x14ac:dyDescent="0.2">
      <c r="A4" t="s">
        <v>370</v>
      </c>
      <c r="B4">
        <v>0.749</v>
      </c>
      <c r="R4" s="1" t="s">
        <v>392</v>
      </c>
      <c r="S4" s="1" t="s">
        <v>393</v>
      </c>
      <c r="T4" s="1" t="s">
        <v>394</v>
      </c>
      <c r="U4" s="1" t="s">
        <v>395</v>
      </c>
    </row>
    <row r="5" spans="1:21" x14ac:dyDescent="0.2">
      <c r="A5" t="s">
        <v>371</v>
      </c>
      <c r="B5">
        <v>-6.5000000000000002E-2</v>
      </c>
      <c r="Q5" s="1" t="s">
        <v>381</v>
      </c>
      <c r="R5" s="1" t="s">
        <v>382</v>
      </c>
      <c r="S5" s="1" t="s">
        <v>383</v>
      </c>
      <c r="T5" s="1" t="s">
        <v>148</v>
      </c>
      <c r="U5" s="1" t="s">
        <v>384</v>
      </c>
    </row>
    <row r="6" spans="1:21" x14ac:dyDescent="0.2">
      <c r="A6" t="s">
        <v>372</v>
      </c>
      <c r="B6">
        <v>0</v>
      </c>
      <c r="R6" s="1" t="s">
        <v>396</v>
      </c>
      <c r="S6" s="1" t="s">
        <v>65</v>
      </c>
      <c r="T6" s="1" t="s">
        <v>397</v>
      </c>
      <c r="U6" s="1" t="s">
        <v>85</v>
      </c>
    </row>
    <row r="7" spans="1:21" x14ac:dyDescent="0.2">
      <c r="Q7" s="1" t="s">
        <v>385</v>
      </c>
      <c r="R7" s="1" t="s">
        <v>386</v>
      </c>
      <c r="S7" s="1" t="s">
        <v>398</v>
      </c>
      <c r="T7" s="1" t="s">
        <v>399</v>
      </c>
      <c r="U7" s="1" t="s">
        <v>42</v>
      </c>
    </row>
    <row r="8" spans="1:21" x14ac:dyDescent="0.2">
      <c r="R8" s="1" t="s">
        <v>33</v>
      </c>
      <c r="S8" s="1" t="s">
        <v>58</v>
      </c>
      <c r="T8" s="1" t="s">
        <v>400</v>
      </c>
      <c r="U8" s="1" t="s">
        <v>401</v>
      </c>
    </row>
    <row r="9" spans="1:21" x14ac:dyDescent="0.2">
      <c r="A9" t="s">
        <v>375</v>
      </c>
      <c r="B9" t="s">
        <v>366</v>
      </c>
      <c r="C9" t="s">
        <v>374</v>
      </c>
      <c r="D9" t="s">
        <v>373</v>
      </c>
      <c r="Q9" s="1" t="s">
        <v>319</v>
      </c>
      <c r="S9" s="1" t="s">
        <v>387</v>
      </c>
      <c r="U9" s="1" t="s">
        <v>388</v>
      </c>
    </row>
    <row r="10" spans="1:21" x14ac:dyDescent="0.2">
      <c r="A10">
        <v>6.2315934999999998</v>
      </c>
      <c r="C10">
        <f>$B$1+$B$4+($B$2+$B$5)*A10</f>
        <v>0.59508295899999997</v>
      </c>
      <c r="S10" s="1" t="s">
        <v>402</v>
      </c>
      <c r="U10" s="1" t="s">
        <v>403</v>
      </c>
    </row>
    <row r="11" spans="1:21" x14ac:dyDescent="0.2">
      <c r="A11">
        <v>5.1203884999999998</v>
      </c>
      <c r="C11">
        <f t="shared" ref="C11:C12" si="0">$B$1+$B$4+($B$2+$B$5)*A11</f>
        <v>0.69064658899999998</v>
      </c>
      <c r="Q11" s="1" t="s">
        <v>389</v>
      </c>
      <c r="S11" s="1" t="s">
        <v>390</v>
      </c>
      <c r="U11" s="1" t="s">
        <v>404</v>
      </c>
    </row>
    <row r="12" spans="1:21" x14ac:dyDescent="0.2">
      <c r="A12">
        <v>0</v>
      </c>
      <c r="B12">
        <v>0</v>
      </c>
      <c r="C12">
        <f t="shared" si="0"/>
        <v>1.131</v>
      </c>
      <c r="D12">
        <f>$B$1+$B$2*A12</f>
        <v>0.38200000000000001</v>
      </c>
      <c r="S12" s="1" t="s">
        <v>299</v>
      </c>
      <c r="U12" s="1" t="s">
        <v>287</v>
      </c>
    </row>
    <row r="13" spans="1:21" x14ac:dyDescent="0.2">
      <c r="A13">
        <v>2.1058599999999998</v>
      </c>
      <c r="D13">
        <f t="shared" ref="D13:D14" si="1">$B$1+$B$2*A13</f>
        <v>0.33777694000000003</v>
      </c>
      <c r="Q13" s="1" t="s">
        <v>391</v>
      </c>
      <c r="S13" s="1" t="s">
        <v>405</v>
      </c>
      <c r="U13" s="1" t="s">
        <v>406</v>
      </c>
    </row>
    <row r="14" spans="1:21" x14ac:dyDescent="0.2">
      <c r="A14">
        <v>4.780926</v>
      </c>
      <c r="D14">
        <f t="shared" si="1"/>
        <v>0.281600554</v>
      </c>
      <c r="S14" s="1" t="s">
        <v>407</v>
      </c>
      <c r="U14" s="1" t="s">
        <v>408</v>
      </c>
    </row>
    <row r="15" spans="1:21" x14ac:dyDescent="0.2">
      <c r="Q15" s="1" t="s">
        <v>14</v>
      </c>
      <c r="R15" s="1" t="s">
        <v>38</v>
      </c>
      <c r="S15" s="1" t="s">
        <v>38</v>
      </c>
      <c r="T15" s="1" t="s">
        <v>38</v>
      </c>
      <c r="U15" s="1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topLeftCell="A16" zoomScale="85" zoomScaleNormal="85" workbookViewId="0">
      <selection activeCell="A38" sqref="A38:A39"/>
    </sheetView>
  </sheetViews>
  <sheetFormatPr baseColWidth="10" defaultColWidth="8.83203125" defaultRowHeight="16" x14ac:dyDescent="0.2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 x14ac:dyDescent="0.2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 x14ac:dyDescent="0.2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 x14ac:dyDescent="0.2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 x14ac:dyDescent="0.2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 x14ac:dyDescent="0.2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 x14ac:dyDescent="0.2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 x14ac:dyDescent="0.2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 x14ac:dyDescent="0.2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 x14ac:dyDescent="0.2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 x14ac:dyDescent="0.2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 x14ac:dyDescent="0.2">
      <c r="B15" t="s">
        <v>0</v>
      </c>
    </row>
    <row r="16" spans="1:13" x14ac:dyDescent="0.2">
      <c r="A16" t="s">
        <v>316</v>
      </c>
      <c r="B16" t="s">
        <v>317</v>
      </c>
      <c r="C16" t="s">
        <v>366</v>
      </c>
    </row>
    <row r="17" spans="1:3" x14ac:dyDescent="0.2">
      <c r="A17">
        <f>L2+M2</f>
        <v>6.2315934999999998</v>
      </c>
      <c r="B17">
        <f>$B$2+$B$3*A17</f>
        <v>-5.4421707499999999E-2</v>
      </c>
    </row>
    <row r="18" spans="1:3" x14ac:dyDescent="0.2">
      <c r="A18">
        <f>L2-M2</f>
        <v>5.1203884999999998</v>
      </c>
      <c r="B18">
        <f>$B$2+$B$3*A18</f>
        <v>-4.4174824999999862E-3</v>
      </c>
    </row>
    <row r="19" spans="1:3" x14ac:dyDescent="0.2">
      <c r="A19">
        <v>0</v>
      </c>
      <c r="B19">
        <f>$B$2+$B$3*A19</f>
        <v>0.22600000000000001</v>
      </c>
      <c r="C19">
        <v>0</v>
      </c>
    </row>
    <row r="20" spans="1:3" x14ac:dyDescent="0.2">
      <c r="A20">
        <v>0</v>
      </c>
      <c r="C20">
        <v>0</v>
      </c>
    </row>
    <row r="22" spans="1:3" x14ac:dyDescent="0.2">
      <c r="B22" t="s">
        <v>1</v>
      </c>
    </row>
    <row r="23" spans="1:3" x14ac:dyDescent="0.2">
      <c r="A23" t="s">
        <v>316</v>
      </c>
      <c r="B23" t="s">
        <v>317</v>
      </c>
      <c r="C23" t="s">
        <v>318</v>
      </c>
    </row>
    <row r="24" spans="1:3" x14ac:dyDescent="0.2">
      <c r="A24">
        <f>L7+M7</f>
        <v>6.2315934999999998</v>
      </c>
      <c r="B24">
        <f>$C$2+$C$3*A24</f>
        <v>-0.30157172450000003</v>
      </c>
    </row>
    <row r="25" spans="1:3" x14ac:dyDescent="0.2">
      <c r="A25">
        <f>L7-M7</f>
        <v>5.1203884999999998</v>
      </c>
      <c r="B25">
        <f>$C$2+$C$3*A25</f>
        <v>-4.9328189499999953E-2</v>
      </c>
    </row>
    <row r="26" spans="1:3" x14ac:dyDescent="0.2">
      <c r="A26">
        <v>0</v>
      </c>
      <c r="C26">
        <v>0</v>
      </c>
    </row>
    <row r="27" spans="1:3" x14ac:dyDescent="0.2">
      <c r="A27">
        <v>0</v>
      </c>
      <c r="C27">
        <v>0</v>
      </c>
    </row>
    <row r="33" spans="1:3" x14ac:dyDescent="0.2">
      <c r="B33" t="s">
        <v>3</v>
      </c>
    </row>
    <row r="34" spans="1:3" x14ac:dyDescent="0.2">
      <c r="A34" t="s">
        <v>186</v>
      </c>
      <c r="B34" t="s">
        <v>317</v>
      </c>
      <c r="C34" t="s">
        <v>318</v>
      </c>
    </row>
    <row r="35" spans="1:3" x14ac:dyDescent="0.2">
      <c r="A35">
        <f>L7-M7</f>
        <v>5.1203884999999998</v>
      </c>
      <c r="B35">
        <f>B6+B7*A35+B8*A35</f>
        <v>0.25388736600000006</v>
      </c>
    </row>
    <row r="36" spans="1:3" x14ac:dyDescent="0.2">
      <c r="A36">
        <f>L7+M7</f>
        <v>6.2315934999999998</v>
      </c>
      <c r="B36">
        <f>B6+B7*A36+A36*B8</f>
        <v>0.16054614600000006</v>
      </c>
    </row>
    <row r="37" spans="1:3" x14ac:dyDescent="0.2">
      <c r="A37">
        <v>0</v>
      </c>
      <c r="B37">
        <f>B6+B7*A37+A37*B8</f>
        <v>0.68400000000000005</v>
      </c>
    </row>
    <row r="38" spans="1:3" x14ac:dyDescent="0.2">
      <c r="A38">
        <f>L8-M8</f>
        <v>2.1058599999999998</v>
      </c>
      <c r="C38">
        <f>B7*(A38)</f>
        <v>-5.4752359999999993E-2</v>
      </c>
    </row>
    <row r="39" spans="1:3" x14ac:dyDescent="0.2">
      <c r="A39">
        <f>L8+M8</f>
        <v>4.780926</v>
      </c>
      <c r="C39">
        <f>B7*A39</f>
        <v>-0.124304076</v>
      </c>
    </row>
    <row r="40" spans="1:3" x14ac:dyDescent="0.2">
      <c r="A40">
        <v>0</v>
      </c>
      <c r="C40">
        <f>B7*A40</f>
        <v>0</v>
      </c>
    </row>
    <row r="41" spans="1:3" x14ac:dyDescent="0.2">
      <c r="B41" t="s">
        <v>127</v>
      </c>
    </row>
    <row r="42" spans="1:3" x14ac:dyDescent="0.2">
      <c r="A42" t="s">
        <v>229</v>
      </c>
      <c r="B42" t="s">
        <v>317</v>
      </c>
      <c r="C42" t="s">
        <v>318</v>
      </c>
    </row>
    <row r="43" spans="1:3" x14ac:dyDescent="0.2">
      <c r="A43">
        <f>L9-M9</f>
        <v>0.40333040000000009</v>
      </c>
      <c r="B43">
        <f>D9*A43+D10*A43</f>
        <v>0.15528220400000003</v>
      </c>
    </row>
    <row r="44" spans="1:3" x14ac:dyDescent="0.2">
      <c r="A44">
        <f>L9+M9</f>
        <v>0.70744960000000001</v>
      </c>
      <c r="B44">
        <f>D9*A44+D10*A44</f>
        <v>0.272368096</v>
      </c>
    </row>
    <row r="45" spans="1:3" x14ac:dyDescent="0.2">
      <c r="A45">
        <f>L10-M10</f>
        <v>0.25836000000000003</v>
      </c>
      <c r="C45">
        <f>D9*A45</f>
        <v>0.12762984000000002</v>
      </c>
    </row>
    <row r="46" spans="1:3" x14ac:dyDescent="0.2">
      <c r="A46">
        <f>L10+M10</f>
        <v>0.63216220000000001</v>
      </c>
      <c r="C46">
        <f>D9*A46</f>
        <v>0.31228812680000001</v>
      </c>
    </row>
    <row r="47" spans="1:3" x14ac:dyDescent="0.2">
      <c r="A47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41"/>
  <sheetViews>
    <sheetView topLeftCell="A3" workbookViewId="0">
      <selection activeCell="B34" sqref="B34:B35"/>
    </sheetView>
  </sheetViews>
  <sheetFormatPr baseColWidth="10" defaultColWidth="10.83203125" defaultRowHeight="16" x14ac:dyDescent="0.2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 x14ac:dyDescent="0.2">
      <c r="B2" s="22"/>
      <c r="C2" s="23" t="s">
        <v>340</v>
      </c>
      <c r="D2" s="23" t="s">
        <v>341</v>
      </c>
      <c r="E2" s="23" t="s">
        <v>342</v>
      </c>
      <c r="F2" s="23" t="s">
        <v>343</v>
      </c>
      <c r="H2" s="22"/>
      <c r="I2" s="23" t="s">
        <v>340</v>
      </c>
      <c r="J2" s="23" t="s">
        <v>341</v>
      </c>
      <c r="K2" s="23" t="s">
        <v>342</v>
      </c>
      <c r="L2" s="23" t="s">
        <v>343</v>
      </c>
      <c r="N2" s="22"/>
      <c r="O2" s="23" t="s">
        <v>340</v>
      </c>
      <c r="P2" s="23" t="s">
        <v>341</v>
      </c>
    </row>
    <row r="3" spans="2:16" ht="32" customHeight="1" x14ac:dyDescent="0.2">
      <c r="B3" s="16" t="s">
        <v>345</v>
      </c>
      <c r="C3" s="31" t="s">
        <v>346</v>
      </c>
      <c r="D3" s="31"/>
      <c r="E3" s="31" t="s">
        <v>348</v>
      </c>
      <c r="F3" s="31"/>
      <c r="H3" s="16" t="s">
        <v>345</v>
      </c>
      <c r="I3" s="31" t="s">
        <v>349</v>
      </c>
      <c r="J3" s="31"/>
      <c r="K3" s="31" t="s">
        <v>350</v>
      </c>
      <c r="L3" s="31"/>
      <c r="N3" s="16" t="s">
        <v>345</v>
      </c>
      <c r="O3" s="31" t="s">
        <v>352</v>
      </c>
      <c r="P3" s="31"/>
    </row>
    <row r="4" spans="2:16" ht="16" customHeight="1" x14ac:dyDescent="0.2">
      <c r="B4" s="32" t="s">
        <v>334</v>
      </c>
      <c r="C4" s="14" t="s">
        <v>6</v>
      </c>
      <c r="D4" s="14" t="s">
        <v>67</v>
      </c>
      <c r="E4" s="14" t="s">
        <v>7</v>
      </c>
      <c r="F4" s="14" t="s">
        <v>68</v>
      </c>
      <c r="H4" s="32" t="s">
        <v>334</v>
      </c>
      <c r="I4" s="14" t="s">
        <v>128</v>
      </c>
      <c r="J4" s="14" t="s">
        <v>205</v>
      </c>
      <c r="K4" s="14" t="s">
        <v>10</v>
      </c>
      <c r="L4" s="14" t="s">
        <v>260</v>
      </c>
      <c r="N4" s="32" t="s">
        <v>334</v>
      </c>
      <c r="O4" s="14" t="s">
        <v>64</v>
      </c>
      <c r="P4" s="14" t="s">
        <v>53</v>
      </c>
    </row>
    <row r="5" spans="2:16" x14ac:dyDescent="0.2">
      <c r="B5" s="32"/>
      <c r="C5" s="14" t="s">
        <v>16</v>
      </c>
      <c r="D5" s="14" t="s">
        <v>30</v>
      </c>
      <c r="E5" s="14" t="s">
        <v>18</v>
      </c>
      <c r="F5" s="14" t="s">
        <v>73</v>
      </c>
      <c r="H5" s="32"/>
      <c r="I5" s="14" t="s">
        <v>29</v>
      </c>
      <c r="J5" s="14" t="s">
        <v>235</v>
      </c>
      <c r="K5" s="14" t="s">
        <v>24</v>
      </c>
      <c r="L5" s="14" t="s">
        <v>263</v>
      </c>
      <c r="N5" s="32"/>
      <c r="O5" s="14" t="s">
        <v>65</v>
      </c>
      <c r="P5" s="14" t="s">
        <v>239</v>
      </c>
    </row>
    <row r="6" spans="2:16" ht="16" customHeight="1" x14ac:dyDescent="0.2">
      <c r="B6" s="32" t="s">
        <v>364</v>
      </c>
      <c r="C6" s="14"/>
      <c r="D6" s="14" t="s">
        <v>76</v>
      </c>
      <c r="E6" s="14"/>
      <c r="F6" s="14" t="s">
        <v>77</v>
      </c>
      <c r="H6" s="32" t="s">
        <v>360</v>
      </c>
      <c r="J6" s="14" t="s">
        <v>265</v>
      </c>
      <c r="K6" s="14"/>
      <c r="L6" s="14" t="s">
        <v>266</v>
      </c>
      <c r="N6" s="32" t="s">
        <v>360</v>
      </c>
      <c r="P6" s="14" t="s">
        <v>97</v>
      </c>
    </row>
    <row r="7" spans="2:16" x14ac:dyDescent="0.2">
      <c r="B7" s="32"/>
      <c r="C7" s="14"/>
      <c r="D7" s="14" t="s">
        <v>26</v>
      </c>
      <c r="E7" s="14"/>
      <c r="F7" s="14" t="s">
        <v>78</v>
      </c>
      <c r="H7" s="32"/>
      <c r="J7" s="14" t="s">
        <v>213</v>
      </c>
      <c r="K7" s="14"/>
      <c r="L7" s="14" t="s">
        <v>78</v>
      </c>
      <c r="N7" s="32"/>
      <c r="P7" s="14" t="s">
        <v>241</v>
      </c>
    </row>
    <row r="8" spans="2:16" ht="16" customHeight="1" x14ac:dyDescent="0.2">
      <c r="B8" s="32" t="s">
        <v>365</v>
      </c>
      <c r="C8" s="14"/>
      <c r="D8" s="14" t="s">
        <v>80</v>
      </c>
      <c r="E8" s="14"/>
      <c r="F8" s="14" t="s">
        <v>81</v>
      </c>
      <c r="H8" s="32" t="s">
        <v>361</v>
      </c>
      <c r="J8" s="14" t="s">
        <v>268</v>
      </c>
      <c r="K8" s="14"/>
      <c r="L8" s="14" t="s">
        <v>269</v>
      </c>
      <c r="N8" s="32" t="s">
        <v>361</v>
      </c>
      <c r="P8" s="14" t="s">
        <v>273</v>
      </c>
    </row>
    <row r="9" spans="2:16" x14ac:dyDescent="0.2">
      <c r="B9" s="33"/>
      <c r="C9" s="17"/>
      <c r="D9" s="17" t="s">
        <v>85</v>
      </c>
      <c r="E9" s="17"/>
      <c r="F9" s="17" t="s">
        <v>86</v>
      </c>
      <c r="H9" s="32"/>
      <c r="J9" s="14" t="s">
        <v>163</v>
      </c>
      <c r="K9" s="14"/>
      <c r="L9" s="14" t="s">
        <v>274</v>
      </c>
      <c r="N9" s="32"/>
      <c r="P9" s="14" t="s">
        <v>217</v>
      </c>
    </row>
    <row r="10" spans="2:16" ht="16" customHeight="1" x14ac:dyDescent="0.2">
      <c r="B10" s="15" t="s">
        <v>335</v>
      </c>
      <c r="C10" s="14" t="s">
        <v>336</v>
      </c>
      <c r="D10" s="14" t="s">
        <v>336</v>
      </c>
      <c r="E10" s="14" t="s">
        <v>336</v>
      </c>
      <c r="F10" s="14" t="s">
        <v>336</v>
      </c>
      <c r="H10" s="32" t="s">
        <v>362</v>
      </c>
      <c r="I10" s="14"/>
      <c r="J10" s="14" t="s">
        <v>276</v>
      </c>
      <c r="K10" s="14"/>
      <c r="L10" s="14" t="s">
        <v>277</v>
      </c>
      <c r="N10" s="32" t="s">
        <v>362</v>
      </c>
      <c r="O10" s="14"/>
      <c r="P10" s="14" t="s">
        <v>140</v>
      </c>
    </row>
    <row r="11" spans="2:16" x14ac:dyDescent="0.2">
      <c r="B11" s="15" t="s">
        <v>337</v>
      </c>
      <c r="C11" s="14" t="s">
        <v>336</v>
      </c>
      <c r="D11" s="14" t="s">
        <v>336</v>
      </c>
      <c r="E11" s="14" t="s">
        <v>336</v>
      </c>
      <c r="F11" s="14" t="s">
        <v>336</v>
      </c>
      <c r="H11" s="32"/>
      <c r="I11" s="14"/>
      <c r="J11" s="14" t="s">
        <v>251</v>
      </c>
      <c r="K11" s="14"/>
      <c r="L11" s="14" t="s">
        <v>20</v>
      </c>
      <c r="N11" s="32"/>
      <c r="O11" s="14"/>
      <c r="P11" s="14" t="s">
        <v>213</v>
      </c>
    </row>
    <row r="12" spans="2:16" ht="16" customHeight="1" x14ac:dyDescent="0.2">
      <c r="B12" s="15" t="s">
        <v>338</v>
      </c>
      <c r="C12" s="14" t="s">
        <v>336</v>
      </c>
      <c r="D12" s="14" t="s">
        <v>336</v>
      </c>
      <c r="E12" s="14" t="s">
        <v>336</v>
      </c>
      <c r="F12" s="14" t="s">
        <v>336</v>
      </c>
      <c r="H12" s="32" t="s">
        <v>363</v>
      </c>
      <c r="I12" s="14"/>
      <c r="J12" s="14" t="s">
        <v>281</v>
      </c>
      <c r="K12" s="14"/>
      <c r="L12" s="14" t="s">
        <v>112</v>
      </c>
      <c r="N12" s="32" t="s">
        <v>363</v>
      </c>
      <c r="O12" s="14"/>
      <c r="P12" s="14" t="s">
        <v>285</v>
      </c>
    </row>
    <row r="13" spans="2:16" x14ac:dyDescent="0.2">
      <c r="B13" s="21" t="s">
        <v>339</v>
      </c>
      <c r="C13" s="17" t="s">
        <v>344</v>
      </c>
      <c r="D13" s="17" t="s">
        <v>347</v>
      </c>
      <c r="E13" s="17" t="s">
        <v>344</v>
      </c>
      <c r="F13" s="17" t="s">
        <v>347</v>
      </c>
      <c r="H13" s="33"/>
      <c r="I13" s="17"/>
      <c r="J13" s="17" t="s">
        <v>210</v>
      </c>
      <c r="K13" s="17"/>
      <c r="L13" s="17" t="s">
        <v>286</v>
      </c>
      <c r="N13" s="33"/>
      <c r="O13" s="17"/>
      <c r="P13" s="17" t="s">
        <v>60</v>
      </c>
    </row>
    <row r="14" spans="2:16" ht="16" customHeight="1" x14ac:dyDescent="0.2">
      <c r="H14" s="15" t="s">
        <v>335</v>
      </c>
      <c r="I14" s="14" t="s">
        <v>336</v>
      </c>
      <c r="J14" s="14" t="s">
        <v>336</v>
      </c>
      <c r="K14" s="14" t="s">
        <v>336</v>
      </c>
      <c r="L14" s="14" t="s">
        <v>336</v>
      </c>
      <c r="N14" s="15" t="s">
        <v>335</v>
      </c>
      <c r="O14" s="14" t="s">
        <v>336</v>
      </c>
      <c r="P14" s="14" t="s">
        <v>336</v>
      </c>
    </row>
    <row r="15" spans="2:16" x14ac:dyDescent="0.2">
      <c r="H15" s="15" t="s">
        <v>337</v>
      </c>
      <c r="I15" s="14" t="s">
        <v>336</v>
      </c>
      <c r="J15" s="14" t="s">
        <v>336</v>
      </c>
      <c r="K15" s="14" t="s">
        <v>336</v>
      </c>
      <c r="L15" s="14" t="s">
        <v>336</v>
      </c>
      <c r="N15" s="15" t="s">
        <v>337</v>
      </c>
      <c r="O15" s="14" t="s">
        <v>336</v>
      </c>
      <c r="P15" s="14" t="s">
        <v>336</v>
      </c>
    </row>
    <row r="16" spans="2:16" x14ac:dyDescent="0.2">
      <c r="H16" s="15" t="s">
        <v>338</v>
      </c>
      <c r="I16" s="14" t="s">
        <v>336</v>
      </c>
      <c r="J16" s="14" t="s">
        <v>336</v>
      </c>
      <c r="K16" s="14" t="s">
        <v>336</v>
      </c>
      <c r="L16" s="14" t="s">
        <v>336</v>
      </c>
      <c r="N16" s="15" t="s">
        <v>338</v>
      </c>
      <c r="O16" s="14" t="s">
        <v>336</v>
      </c>
      <c r="P16" s="14" t="s">
        <v>336</v>
      </c>
    </row>
    <row r="17" spans="2:16" ht="16" customHeight="1" x14ac:dyDescent="0.2">
      <c r="C17" s="24"/>
      <c r="H17" s="21" t="s">
        <v>339</v>
      </c>
      <c r="I17" s="17" t="s">
        <v>344</v>
      </c>
      <c r="J17" s="17" t="s">
        <v>351</v>
      </c>
      <c r="K17" s="17" t="s">
        <v>344</v>
      </c>
      <c r="L17" s="17" t="s">
        <v>351</v>
      </c>
      <c r="N17" s="21" t="s">
        <v>339</v>
      </c>
      <c r="O17" s="17" t="s">
        <v>353</v>
      </c>
      <c r="P17" s="17" t="s">
        <v>354</v>
      </c>
    </row>
    <row r="18" spans="2:16" x14ac:dyDescent="0.2">
      <c r="C18" s="24"/>
    </row>
    <row r="19" spans="2:16" ht="16" customHeight="1" x14ac:dyDescent="0.2">
      <c r="C19" s="24"/>
    </row>
    <row r="20" spans="2:16" x14ac:dyDescent="0.2">
      <c r="C20" s="24"/>
    </row>
    <row r="21" spans="2:16" ht="16" customHeight="1" x14ac:dyDescent="0.2">
      <c r="C21" s="24"/>
    </row>
    <row r="22" spans="2:16" ht="16" customHeight="1" x14ac:dyDescent="0.2">
      <c r="C22" s="24"/>
    </row>
    <row r="23" spans="2:16" ht="16" customHeight="1" x14ac:dyDescent="0.2"/>
    <row r="24" spans="2:16" ht="16" customHeight="1" x14ac:dyDescent="0.2">
      <c r="B24" s="36" t="s">
        <v>324</v>
      </c>
      <c r="C24" s="36" t="s">
        <v>325</v>
      </c>
      <c r="D24" s="36"/>
      <c r="E24" s="36"/>
      <c r="F24" s="36" t="s">
        <v>326</v>
      </c>
      <c r="G24" s="36" t="s">
        <v>327</v>
      </c>
    </row>
    <row r="25" spans="2:16" ht="16" customHeight="1" x14ac:dyDescent="0.2">
      <c r="B25" s="35"/>
      <c r="C25" s="20" t="s">
        <v>328</v>
      </c>
      <c r="D25" s="20" t="s">
        <v>329</v>
      </c>
      <c r="E25" s="20" t="s">
        <v>330</v>
      </c>
      <c r="F25" s="37"/>
      <c r="G25" s="37"/>
    </row>
    <row r="26" spans="2:16" x14ac:dyDescent="0.2">
      <c r="B26" s="34" t="s">
        <v>331</v>
      </c>
      <c r="C26" s="18" t="str">
        <f>"86.809"</f>
        <v>86.809</v>
      </c>
      <c r="D26" s="18" t="str">
        <f>"84.233"</f>
        <v>84.233</v>
      </c>
      <c r="E26" s="18" t="str">
        <f>"89.272"</f>
        <v>89.272</v>
      </c>
      <c r="F26" s="35" t="str">
        <f>"0.000"</f>
        <v>0.000</v>
      </c>
      <c r="G26" s="35" t="str">
        <f>"2702.000"</f>
        <v>2702.000</v>
      </c>
    </row>
    <row r="27" spans="2:16" ht="16" customHeight="1" x14ac:dyDescent="0.2">
      <c r="B27" s="34"/>
      <c r="C27" s="18" t="str">
        <f>"(113.981)"</f>
        <v>(113.981)</v>
      </c>
      <c r="D27" s="18" t="str">
        <f>"(89.347)"</f>
        <v>(89.347)</v>
      </c>
      <c r="E27" s="18" t="str">
        <f>"(133.323)"</f>
        <v>(133.323)</v>
      </c>
      <c r="F27" s="35"/>
      <c r="G27" s="35"/>
    </row>
    <row r="28" spans="2:16" x14ac:dyDescent="0.2">
      <c r="B28" s="34" t="s">
        <v>332</v>
      </c>
      <c r="C28" s="18" t="str">
        <f>"1.293"</f>
        <v>1.293</v>
      </c>
      <c r="D28" s="18" t="str">
        <f>"1.209"</f>
        <v>1.209</v>
      </c>
      <c r="E28" s="18" t="str">
        <f>"1.372"</f>
        <v>1.372</v>
      </c>
      <c r="F28" s="35" t="str">
        <f>"0.000"</f>
        <v>0.000</v>
      </c>
      <c r="G28" s="35" t="str">
        <f>"8.000"</f>
        <v>8.000</v>
      </c>
    </row>
    <row r="29" spans="2:16" x14ac:dyDescent="0.2">
      <c r="B29" s="34"/>
      <c r="C29" s="18" t="str">
        <f>"(1.166)"</f>
        <v>(1.166)</v>
      </c>
      <c r="D29" s="18" t="str">
        <f>"(1.133)"</f>
        <v>(1.133)</v>
      </c>
      <c r="E29" s="18" t="str">
        <f>"(1.192)"</f>
        <v>(1.192)</v>
      </c>
      <c r="F29" s="35"/>
      <c r="G29" s="35"/>
    </row>
    <row r="30" spans="2:16" ht="16" customHeight="1" x14ac:dyDescent="0.2">
      <c r="B30" s="34" t="s">
        <v>355</v>
      </c>
      <c r="C30" s="18" t="str">
        <f>"0.420"</f>
        <v>0.420</v>
      </c>
      <c r="D30" s="18" t="str">
        <f>"0.432"</f>
        <v>0.432</v>
      </c>
      <c r="E30" s="18" t="str">
        <f>"0.397"</f>
        <v>0.397</v>
      </c>
      <c r="F30" s="35" t="str">
        <f>"-0.048"</f>
        <v>-0.048</v>
      </c>
      <c r="G30" s="35" t="str">
        <f>"0.991"</f>
        <v>0.991</v>
      </c>
    </row>
    <row r="31" spans="2:16" x14ac:dyDescent="0.2">
      <c r="B31" s="34"/>
      <c r="C31" s="18" t="str">
        <f>"(0.181)"</f>
        <v>(0.181)</v>
      </c>
      <c r="D31" s="18" t="str">
        <f>"(0.175)"</f>
        <v>(0.175)</v>
      </c>
      <c r="E31" s="18" t="str">
        <f>"(0.188)"</f>
        <v>(0.188)</v>
      </c>
      <c r="F31" s="35"/>
      <c r="G31" s="35"/>
    </row>
    <row r="32" spans="2:16" ht="16" customHeight="1" x14ac:dyDescent="0.2">
      <c r="B32" s="34" t="s">
        <v>333</v>
      </c>
      <c r="C32" s="18" t="str">
        <f>"0.489"</f>
        <v>0.489</v>
      </c>
      <c r="D32" s="18" t="str">
        <f>"0.436"</f>
        <v>0.436</v>
      </c>
      <c r="E32" s="18" t="str">
        <f>"0.536"</f>
        <v>0.536</v>
      </c>
      <c r="F32" s="35" t="str">
        <f>"-3.000"</f>
        <v>-3.000</v>
      </c>
      <c r="G32" s="35" t="str">
        <f>"14.000"</f>
        <v>14.000</v>
      </c>
    </row>
    <row r="33" spans="2:7" x14ac:dyDescent="0.2">
      <c r="B33" s="34"/>
      <c r="C33" s="18" t="str">
        <f>"(1.096)"</f>
        <v>(1.096)</v>
      </c>
      <c r="D33" s="18" t="str">
        <f>"(1.041)"</f>
        <v>(1.041)</v>
      </c>
      <c r="E33" s="18" t="str">
        <f>"(1.140)"</f>
        <v>(1.140)</v>
      </c>
      <c r="F33" s="35"/>
      <c r="G33" s="35"/>
    </row>
    <row r="34" spans="2:7" ht="16" customHeight="1" x14ac:dyDescent="0.2">
      <c r="B34" s="34" t="s">
        <v>357</v>
      </c>
      <c r="C34" s="18" t="str">
        <f>"2.774"</f>
        <v>2.774</v>
      </c>
      <c r="D34" s="18" t="str">
        <f>"5.676"</f>
        <v>5.676</v>
      </c>
      <c r="E34" s="18" t="str">
        <f>"0.000"</f>
        <v>0.000</v>
      </c>
      <c r="F34" s="35" t="str">
        <f>"0.000"</f>
        <v>0.000</v>
      </c>
      <c r="G34" s="35" t="str">
        <f>"6.977"</f>
        <v>6.977</v>
      </c>
    </row>
    <row r="35" spans="2:7" x14ac:dyDescent="0.2">
      <c r="B35" s="34"/>
      <c r="C35" s="18" t="str">
        <f>"(2.864)"</f>
        <v>(2.864)</v>
      </c>
      <c r="D35" s="18" t="str">
        <f>"(0.556)"</f>
        <v>(0.556)</v>
      </c>
      <c r="E35" s="18" t="str">
        <f>"(0.000)"</f>
        <v>(0.000)</v>
      </c>
      <c r="F35" s="35"/>
      <c r="G35" s="35"/>
    </row>
    <row r="36" spans="2:7" x14ac:dyDescent="0.2">
      <c r="B36" s="34" t="s">
        <v>359</v>
      </c>
      <c r="C36" s="18" t="str">
        <f>"0.271"</f>
        <v>0.271</v>
      </c>
      <c r="D36" s="18" t="str">
        <f>"0.555"</f>
        <v>0.555</v>
      </c>
      <c r="E36" s="18" t="str">
        <f>"0.000"</f>
        <v>0.000</v>
      </c>
      <c r="F36" s="35" t="str">
        <f>"0.000"</f>
        <v>0.000</v>
      </c>
      <c r="G36" s="35" t="str">
        <f>"0.891"</f>
        <v>0.891</v>
      </c>
    </row>
    <row r="37" spans="2:7" x14ac:dyDescent="0.2">
      <c r="B37" s="34"/>
      <c r="C37" s="18" t="str">
        <f>"(0.297)"</f>
        <v>(0.297)</v>
      </c>
      <c r="D37" s="18" t="str">
        <f>"(0.152)"</f>
        <v>(0.152)</v>
      </c>
      <c r="E37" s="18" t="str">
        <f>"(0.000)"</f>
        <v>(0.000)</v>
      </c>
      <c r="F37" s="35"/>
      <c r="G37" s="35"/>
    </row>
    <row r="38" spans="2:7" x14ac:dyDescent="0.2">
      <c r="B38" s="34" t="s">
        <v>358</v>
      </c>
      <c r="C38" s="18" t="str">
        <f>"4.662"</f>
        <v>4.662</v>
      </c>
      <c r="D38" s="18" t="str">
        <f>"5.676"</f>
        <v>5.676</v>
      </c>
      <c r="E38" s="18" t="str">
        <f>"3.443"</f>
        <v>3.443</v>
      </c>
      <c r="F38" s="35" t="str">
        <f>"0.000"</f>
        <v>0.000</v>
      </c>
      <c r="G38" s="35" t="str">
        <f>"7.912"</f>
        <v>7.912</v>
      </c>
    </row>
    <row r="39" spans="2:7" x14ac:dyDescent="0.2">
      <c r="B39" s="34"/>
      <c r="C39" s="18" t="str">
        <f>"(1.489)"</f>
        <v>(1.489)</v>
      </c>
      <c r="D39" s="18" t="str">
        <f>"(0.556)"</f>
        <v>(0.556)</v>
      </c>
      <c r="E39" s="18" t="str">
        <f>"(1.338)"</f>
        <v>(1.338)</v>
      </c>
      <c r="F39" s="35"/>
      <c r="G39" s="35"/>
    </row>
    <row r="40" spans="2:7" x14ac:dyDescent="0.2">
      <c r="B40" s="34" t="s">
        <v>356</v>
      </c>
      <c r="C40" s="18" t="str">
        <f>"0.506"</f>
        <v>0.506</v>
      </c>
      <c r="D40" s="18" t="str">
        <f>"0.555"</f>
        <v>0.555</v>
      </c>
      <c r="E40" s="18" t="str">
        <f>"0.445"</f>
        <v>0.445</v>
      </c>
      <c r="F40" s="35" t="str">
        <f>"-0.090"</f>
        <v>-0.090</v>
      </c>
      <c r="G40" s="35" t="str">
        <f>"0.911"</f>
        <v>0.911</v>
      </c>
    </row>
    <row r="41" spans="2:7" x14ac:dyDescent="0.2">
      <c r="B41" s="38"/>
      <c r="C41" s="19" t="str">
        <f>"(0.177)"</f>
        <v>(0.177)</v>
      </c>
      <c r="D41" s="19" t="str">
        <f>"(0.152)"</f>
        <v>(0.152)</v>
      </c>
      <c r="E41" s="19" t="str">
        <f>"(0.187)"</f>
        <v>(0.187)</v>
      </c>
      <c r="F41" s="37"/>
      <c r="G41" s="37"/>
    </row>
  </sheetData>
  <mergeCells count="46">
    <mergeCell ref="B38:B39"/>
    <mergeCell ref="F38:F39"/>
    <mergeCell ref="G38:G39"/>
    <mergeCell ref="B40:B41"/>
    <mergeCell ref="F40:F41"/>
    <mergeCell ref="G40:G41"/>
    <mergeCell ref="B34:B35"/>
    <mergeCell ref="F34:F35"/>
    <mergeCell ref="G34:G35"/>
    <mergeCell ref="B36:B37"/>
    <mergeCell ref="F36:F37"/>
    <mergeCell ref="G36:G37"/>
    <mergeCell ref="B30:B31"/>
    <mergeCell ref="F30:F31"/>
    <mergeCell ref="G30:G31"/>
    <mergeCell ref="B32:B33"/>
    <mergeCell ref="F32:F33"/>
    <mergeCell ref="G32:G33"/>
    <mergeCell ref="B28:B29"/>
    <mergeCell ref="F28:F29"/>
    <mergeCell ref="G28:G29"/>
    <mergeCell ref="N10:N11"/>
    <mergeCell ref="N12:N13"/>
    <mergeCell ref="B24:B25"/>
    <mergeCell ref="B26:B27"/>
    <mergeCell ref="C24:E24"/>
    <mergeCell ref="F24:F25"/>
    <mergeCell ref="G24:G25"/>
    <mergeCell ref="F26:F27"/>
    <mergeCell ref="G26:G27"/>
    <mergeCell ref="H10:H11"/>
    <mergeCell ref="H12:H13"/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  <mergeCell ref="H6:H7"/>
    <mergeCell ref="H8:H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interaction plot</vt:lpstr>
      <vt:lpstr>table in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2026-06-06T05:39:58Z</dcterms:modified>
</cp:coreProperties>
</file>