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writeup/"/>
    </mc:Choice>
  </mc:AlternateContent>
  <xr:revisionPtr revIDLastSave="0" documentId="13_ncr:1_{E13E8E18-73C9-074E-B742-8303A358B32F}" xr6:coauthVersionLast="47" xr6:coauthVersionMax="47" xr10:uidLastSave="{00000000-0000-0000-0000-000000000000}"/>
  <bookViews>
    <workbookView xWindow="0" yWindow="500" windowWidth="38400" windowHeight="19460" activeTab="2" xr2:uid="{30F402B7-E6D8-E34B-8063-713AC97DE139}"/>
  </bookViews>
  <sheets>
    <sheet name="Sheet1" sheetId="1" r:id="rId1"/>
    <sheet name="interaction plot" sheetId="2" r:id="rId2"/>
    <sheet name="table in pap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2" l="1"/>
  <c r="D35" i="2"/>
  <c r="B35" i="2"/>
  <c r="B17" i="2"/>
  <c r="B36" i="2"/>
  <c r="A35" i="2"/>
  <c r="B37" i="2"/>
  <c r="C40" i="2"/>
  <c r="B19" i="2"/>
  <c r="E33" i="3"/>
  <c r="D33" i="3"/>
  <c r="C33" i="3"/>
  <c r="G32" i="3"/>
  <c r="F32" i="3"/>
  <c r="E32" i="3"/>
  <c r="D32" i="3"/>
  <c r="C32" i="3"/>
  <c r="E31" i="3"/>
  <c r="D31" i="3"/>
  <c r="C31" i="3"/>
  <c r="G30" i="3"/>
  <c r="F30" i="3"/>
  <c r="E30" i="3"/>
  <c r="D30" i="3"/>
  <c r="C30" i="3"/>
  <c r="E41" i="3"/>
  <c r="D41" i="3"/>
  <c r="C41" i="3"/>
  <c r="G40" i="3"/>
  <c r="F40" i="3"/>
  <c r="E40" i="3"/>
  <c r="D40" i="3"/>
  <c r="C40" i="3"/>
  <c r="E39" i="3"/>
  <c r="D39" i="3"/>
  <c r="C39" i="3"/>
  <c r="G38" i="3"/>
  <c r="F38" i="3"/>
  <c r="E38" i="3"/>
  <c r="D38" i="3"/>
  <c r="C38" i="3"/>
  <c r="E37" i="3"/>
  <c r="D37" i="3"/>
  <c r="C37" i="3"/>
  <c r="G36" i="3"/>
  <c r="F36" i="3"/>
  <c r="E36" i="3"/>
  <c r="D36" i="3"/>
  <c r="C36" i="3"/>
  <c r="E35" i="3"/>
  <c r="D35" i="3"/>
  <c r="C35" i="3"/>
  <c r="G34" i="3"/>
  <c r="F34" i="3"/>
  <c r="E34" i="3"/>
  <c r="D34" i="3"/>
  <c r="C34" i="3"/>
  <c r="E29" i="3"/>
  <c r="D29" i="3"/>
  <c r="C29" i="3"/>
  <c r="G28" i="3"/>
  <c r="F28" i="3"/>
  <c r="E28" i="3"/>
  <c r="D28" i="3"/>
  <c r="C28" i="3"/>
  <c r="E27" i="3"/>
  <c r="D27" i="3"/>
  <c r="C27" i="3"/>
  <c r="G26" i="3"/>
  <c r="F26" i="3"/>
  <c r="E26" i="3"/>
  <c r="D26" i="3"/>
  <c r="C26" i="3"/>
  <c r="B43" i="2"/>
  <c r="C46" i="2"/>
  <c r="C45" i="2"/>
  <c r="A25" i="2"/>
  <c r="B25" i="2" s="1"/>
  <c r="A24" i="2"/>
  <c r="B24" i="2" s="1"/>
  <c r="A18" i="2"/>
  <c r="B18" i="2" s="1"/>
  <c r="A17" i="2"/>
  <c r="A46" i="2"/>
  <c r="A45" i="2"/>
  <c r="A44" i="2"/>
  <c r="B44" i="2" s="1"/>
  <c r="A43" i="2"/>
  <c r="A39" i="2"/>
  <c r="C39" i="2" s="1"/>
  <c r="A38" i="2"/>
  <c r="C38" i="2" s="1"/>
  <c r="A36" i="2"/>
  <c r="H7" i="2"/>
  <c r="I9" i="2"/>
  <c r="H9" i="2"/>
  <c r="I7" i="2"/>
</calcChain>
</file>

<file path=xl/sharedStrings.xml><?xml version="1.0" encoding="utf-8"?>
<sst xmlns="http://schemas.openxmlformats.org/spreadsheetml/2006/main" count="799" uniqueCount="367">
  <si>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</si>
  <si>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</si>
  <si>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</si>
  <si>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</si>
  <si>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</si>
  <si>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</si>
  <si>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</si>
  <si>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</si>
  <si>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</si>
  <si>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-0.024 *</t>
  </si>
  <si>
    <t>0.713 ***</t>
  </si>
  <si>
    <t>treatment:log_textLengthCNAI_fillna</t>
  </si>
  <si>
    <t>-0.104 *</t>
  </si>
  <si>
    <t>treatment:AISimWithAccept_fillna</t>
  </si>
  <si>
    <t>Num. obs.</t>
  </si>
  <si>
    <t>0.092</t>
  </si>
  <si>
    <t>(0.011)</t>
  </si>
  <si>
    <t>(0.083)</t>
  </si>
  <si>
    <t>(0.042)</t>
  </si>
  <si>
    <t>(0.310)</t>
  </si>
  <si>
    <t>(0.097)</t>
  </si>
  <si>
    <t>(0.079)</t>
  </si>
  <si>
    <t>(0.012)</t>
  </si>
  <si>
    <t>(0.502)</t>
  </si>
  <si>
    <t>(0.081)</t>
  </si>
  <si>
    <t>-0.006</t>
  </si>
  <si>
    <t>(0.014)</t>
  </si>
  <si>
    <t>(0.053)</t>
  </si>
  <si>
    <t>(0.017)</t>
  </si>
  <si>
    <t>(0.016)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</si>
  <si>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</si>
  <si>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</si>
  <si>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</si>
  <si>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</si>
  <si>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</si>
  <si>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</si>
  <si>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</si>
  <si>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</si>
  <si>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3613</t>
  </si>
  <si>
    <t>3123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</si>
  <si>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</si>
  <si>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</si>
  <si>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</si>
  <si>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</si>
  <si>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</si>
  <si>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</si>
  <si>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</si>
  <si>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</si>
  <si>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</si>
  <si>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</si>
  <si>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</si>
  <si>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</si>
  <si>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</si>
  <si>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</si>
  <si>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</si>
  <si>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</si>
  <si>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</si>
  <si>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</si>
  <si>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</si>
  <si>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</si>
  <si>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</si>
  <si>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</si>
  <si>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</si>
  <si>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</si>
  <si>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</si>
  <si>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(0.009)</t>
  </si>
  <si>
    <t>1913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</si>
  <si>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</si>
  <si>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</si>
  <si>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</si>
  <si>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</si>
  <si>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</si>
  <si>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</si>
  <si>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</si>
  <si>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</si>
  <si>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</si>
  <si>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</si>
  <si>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</si>
  <si>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</si>
  <si>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</si>
  <si>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</si>
  <si>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</si>
  <si>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</si>
  <si>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</si>
  <si>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</si>
  <si>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</si>
  <si>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</si>
  <si>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</si>
  <si>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</si>
  <si>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</si>
  <si>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</si>
  <si>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</si>
  <si>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</si>
  <si>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0.023</t>
  </si>
  <si>
    <t>(0.108)</t>
  </si>
  <si>
    <t>(0.102)</t>
  </si>
  <si>
    <t>-0.001</t>
  </si>
  <si>
    <t>0.005</t>
  </si>
  <si>
    <t>(0.068)</t>
  </si>
  <si>
    <t>(0.034)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</si>
  <si>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</si>
  <si>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</si>
  <si>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</si>
  <si>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</si>
  <si>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</si>
  <si>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</si>
  <si>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</si>
  <si>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</si>
  <si>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</si>
  <si>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</si>
  <si>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</si>
  <si>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</si>
  <si>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</si>
  <si>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</si>
  <si>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</si>
  <si>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</si>
  <si>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</si>
  <si>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</si>
  <si>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</si>
  <si>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</si>
  <si>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</si>
  <si>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</si>
  <si>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</si>
  <si>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-0.020</t>
  </si>
  <si>
    <t>DV: experience</t>
  </si>
  <si>
    <t>DV: insight</t>
  </si>
  <si>
    <t>DV: alternative</t>
  </si>
  <si>
    <t>DV: answer1_answer2_similarity</t>
  </si>
  <si>
    <t>0.347 ***</t>
  </si>
  <si>
    <t>(0.021)</t>
  </si>
  <si>
    <t>AI+AI:Sim w/ Opus (fillNA)
Setup 1</t>
  </si>
  <si>
    <t>AI+AI:Sim w/ Opus (fillNA)
Setup 2</t>
  </si>
  <si>
    <t>AI+AI:Sim w/ Deepseek (fillNA)
Setup 1</t>
  </si>
  <si>
    <t>AI+AI:Sim w/ Deepseek (fillNA)
Setup 2</t>
  </si>
  <si>
    <t>treatment:log_textLengthCN1Ans</t>
  </si>
  <si>
    <t>(0.086)</t>
  </si>
  <si>
    <t>(0.072)</t>
  </si>
  <si>
    <t>2736</t>
  </si>
  <si>
    <t>1909</t>
  </si>
  <si>
    <t>treatment:AISimWithAccept1Ans</t>
  </si>
  <si>
    <t>0.002</t>
  </si>
  <si>
    <t>treatment:SimWithDeepseek1Ans</t>
  </si>
  <si>
    <t>-0.075</t>
  </si>
  <si>
    <t>(0.078)</t>
  </si>
  <si>
    <t>3106</t>
  </si>
  <si>
    <t>1858</t>
  </si>
  <si>
    <t>1862</t>
  </si>
  <si>
    <t>-0.205 ***</t>
  </si>
  <si>
    <t>-0.015</t>
  </si>
  <si>
    <t>treatment:SimWithOpus1Ans</t>
  </si>
  <si>
    <t>3173</t>
  </si>
  <si>
    <t>1883</t>
  </si>
  <si>
    <t>1888</t>
  </si>
  <si>
    <t>0.018</t>
  </si>
  <si>
    <t>0.006</t>
  </si>
  <si>
    <t>0.232</t>
  </si>
  <si>
    <t>-0.377</t>
  </si>
  <si>
    <t>(0.496)</t>
  </si>
  <si>
    <t>(0.484)</t>
  </si>
  <si>
    <t>(0.415)</t>
  </si>
  <si>
    <t>(0.073)</t>
  </si>
  <si>
    <t>(0.812)</t>
  </si>
  <si>
    <t>-0.032</t>
  </si>
  <si>
    <t>(0.071)</t>
  </si>
  <si>
    <t>(0.160)</t>
  </si>
  <si>
    <t>0.211</t>
  </si>
  <si>
    <t>0.142</t>
  </si>
  <si>
    <t>0.754</t>
  </si>
  <si>
    <t>(0.219)</t>
  </si>
  <si>
    <t>(0.214)</t>
  </si>
  <si>
    <t>420</t>
  </si>
  <si>
    <t>114</t>
  </si>
  <si>
    <t>0.304</t>
  </si>
  <si>
    <t>(0.113)</t>
  </si>
  <si>
    <t>406</t>
  </si>
  <si>
    <t>250</t>
  </si>
  <si>
    <t>247</t>
  </si>
  <si>
    <r>
      <t xml:space="preserve">AI+AI:Sim w/ Accept (fillNA)
Setup 1
</t>
    </r>
    <r>
      <rPr>
        <sz val="12"/>
        <color rgb="FFFF0000"/>
        <rFont val="Aptos Narrow (Body)"/>
      </rPr>
      <t>- 对于LLM quality DV：如果这个样本本身就是accepted/most like，剔除
- 对于human1_human2_similarity，如果计算DV涉及到accepted/most like的answer，剔除</t>
    </r>
  </si>
  <si>
    <r>
      <t xml:space="preserve">AI+AI:Sim w/ Accept (fillNA)
Setup 2
</t>
    </r>
    <r>
      <rPr>
        <sz val="12"/>
        <color rgb="FFFF0000"/>
        <rFont val="Aptos Narrow (Body)"/>
      </rPr>
      <t>- 对于LLM quality DV：如果这个样本本身就是accepted/most like，剔除
- 对于answer1_answer2_similarity，如果计算DV涉及到accepted/most like的answer，剔除</t>
    </r>
  </si>
  <si>
    <r>
      <t xml:space="preserve">AI+AI:Sim w/ Accept (fillNA)
Setup 1
- experience/insight/alternative样本限制在first human answer
p.s. </t>
    </r>
    <r>
      <rPr>
        <sz val="12"/>
        <color rgb="FFFF0000"/>
        <rFont val="Aptos Narrow (Body)"/>
      </rPr>
      <t>现在的样本如果涉及accepted/most like，没有剔除。</t>
    </r>
  </si>
  <si>
    <r>
      <t xml:space="preserve">AI+AI:Sim w/ Accept (fillNA)
Setup 2
- contribution DV变成# other answer，也就是control里面从第二个human开始计数。所以treatment正向显著
- experience/insight/alternative样本限制在second answer
p.s. 现在的交互是first answer的质量（可以是AI也可以是人）
p.s. </t>
    </r>
    <r>
      <rPr>
        <sz val="12"/>
        <color rgb="FFFF0000"/>
        <rFont val="Aptos Narrow (Body)"/>
      </rPr>
      <t>现在的样本如果涉及accepted/most like，没有剔除。</t>
    </r>
  </si>
  <si>
    <t>-0.381 **</t>
  </si>
  <si>
    <t>-1.077 *</t>
  </si>
  <si>
    <t>-0.258 *</t>
  </si>
  <si>
    <t>-0.180 .</t>
  </si>
  <si>
    <t>-0.199 ***</t>
  </si>
  <si>
    <t>log_textLengthCN1Ans</t>
  </si>
  <si>
    <t>-0.131 *</t>
  </si>
  <si>
    <t>0.035 ***</t>
  </si>
  <si>
    <t>0.041 ***</t>
  </si>
  <si>
    <t>0.014 .</t>
  </si>
  <si>
    <t>0.012 **</t>
  </si>
  <si>
    <t>-1.117 ***</t>
  </si>
  <si>
    <t>-2.713 ***</t>
  </si>
  <si>
    <t>-0.176 ***</t>
  </si>
  <si>
    <t>-0.159 ***</t>
  </si>
  <si>
    <t>-0.107 **</t>
  </si>
  <si>
    <t>0.167 ***</t>
  </si>
  <si>
    <t>-0.040 *</t>
  </si>
  <si>
    <t>-0.027 .</t>
  </si>
  <si>
    <t>1.228 ***</t>
  </si>
  <si>
    <t>3.232 ***</t>
  </si>
  <si>
    <t>0.577 ***</t>
  </si>
  <si>
    <t>0.570 ***</t>
  </si>
  <si>
    <t>0.449 ***</t>
  </si>
  <si>
    <t>0.684 ***</t>
  </si>
  <si>
    <t>-0.128</t>
  </si>
  <si>
    <t>(0.118)</t>
  </si>
  <si>
    <t>(0.547)</t>
  </si>
  <si>
    <t>(0.111)</t>
  </si>
  <si>
    <t>(0.105)</t>
  </si>
  <si>
    <t>(0.008)</t>
  </si>
  <si>
    <t>(0.057)</t>
  </si>
  <si>
    <t>(0.010)</t>
  </si>
  <si>
    <t>(0.004)</t>
  </si>
  <si>
    <t>(0.043)</t>
  </si>
  <si>
    <t>(0.221)</t>
  </si>
  <si>
    <t>(0.038)</t>
  </si>
  <si>
    <t>(0.019)</t>
  </si>
  <si>
    <t>-0.027</t>
  </si>
  <si>
    <t>-0.023</t>
  </si>
  <si>
    <t>-0.011</t>
  </si>
  <si>
    <t>(0.020)</t>
  </si>
  <si>
    <t>(0.101)</t>
  </si>
  <si>
    <t>(0.015)</t>
  </si>
  <si>
    <t>(0.376)</t>
  </si>
  <si>
    <t>(0.077)</t>
  </si>
  <si>
    <t>(0.029)</t>
  </si>
  <si>
    <t>AISimWithAccept1Ans</t>
  </si>
  <si>
    <t>SimWithOpus1Ans</t>
  </si>
  <si>
    <t>SimWithDeepseek1Ans</t>
  </si>
  <si>
    <t>0.664 ***</t>
  </si>
  <si>
    <t>1.289 *</t>
  </si>
  <si>
    <t>0.089</t>
  </si>
  <si>
    <t>0.094</t>
  </si>
  <si>
    <t>(0.139)</t>
  </si>
  <si>
    <t>(0.541)</t>
  </si>
  <si>
    <t>(0.115)</t>
  </si>
  <si>
    <t>(0.089)</t>
  </si>
  <si>
    <t>(0.055)</t>
  </si>
  <si>
    <t>0.027 *</t>
  </si>
  <si>
    <t>(0.005)</t>
  </si>
  <si>
    <t>-0.082</t>
  </si>
  <si>
    <t>-0.196</t>
  </si>
  <si>
    <t>-0.035</t>
  </si>
  <si>
    <t>0.118 .</t>
  </si>
  <si>
    <t>0.533 ***</t>
  </si>
  <si>
    <t>(0.412)</t>
  </si>
  <si>
    <t>-0.056 *</t>
  </si>
  <si>
    <t>-0.016</t>
  </si>
  <si>
    <t>-0.036 .</t>
  </si>
  <si>
    <t>(0.024)</t>
  </si>
  <si>
    <t>(0.098)</t>
  </si>
  <si>
    <t>0.003</t>
  </si>
  <si>
    <t>-0.102</t>
  </si>
  <si>
    <t>-0.007</t>
  </si>
  <si>
    <t>-0.083</t>
  </si>
  <si>
    <t>-0.174 ***</t>
  </si>
  <si>
    <t>(0.110)</t>
  </si>
  <si>
    <t>(0.508)</t>
  </si>
  <si>
    <t>1.239 *</t>
  </si>
  <si>
    <t>0.071</t>
  </si>
  <si>
    <t>0.080</t>
  </si>
  <si>
    <t>(0.544)</t>
  </si>
  <si>
    <t>(0.116)</t>
  </si>
  <si>
    <t>-0.026 *</t>
  </si>
  <si>
    <t>-0.208 ***</t>
  </si>
  <si>
    <t>0.036 ***</t>
  </si>
  <si>
    <t>-0.025</t>
  </si>
  <si>
    <t>-0.063</t>
  </si>
  <si>
    <t>-0.056</t>
  </si>
  <si>
    <t>-0.108</t>
  </si>
  <si>
    <t>0.093</t>
  </si>
  <si>
    <t>0.494 ***</t>
  </si>
  <si>
    <t>(0.364)</t>
  </si>
  <si>
    <t>(0.074)</t>
  </si>
  <si>
    <t>-0.058 *</t>
  </si>
  <si>
    <t>-0.073</t>
  </si>
  <si>
    <t>-0.018</t>
  </si>
  <si>
    <t>-0.037 .</t>
  </si>
  <si>
    <t>-0.017</t>
  </si>
  <si>
    <t>-0.033</t>
  </si>
  <si>
    <t>0.057</t>
  </si>
  <si>
    <t>0.106</t>
  </si>
  <si>
    <t>-0.031</t>
  </si>
  <si>
    <t>-0.109 *</t>
  </si>
  <si>
    <t>(0.477)</t>
  </si>
  <si>
    <t>(0.096)</t>
  </si>
  <si>
    <t>0.140</t>
  </si>
  <si>
    <t>0.470</t>
  </si>
  <si>
    <t>0.173</t>
  </si>
  <si>
    <t>-0.244</t>
  </si>
  <si>
    <t>(0.466)</t>
  </si>
  <si>
    <t>(0.384)</t>
  </si>
  <si>
    <t>(0.253)</t>
  </si>
  <si>
    <t>0.041 .</t>
  </si>
  <si>
    <t>0.012</t>
  </si>
  <si>
    <t>-0.063 **</t>
  </si>
  <si>
    <t>(0.023)</t>
  </si>
  <si>
    <t>(0.022)</t>
  </si>
  <si>
    <t>-0.168</t>
  </si>
  <si>
    <t>-0.175</t>
  </si>
  <si>
    <t>-0.228 *</t>
  </si>
  <si>
    <t>0.441 *</t>
  </si>
  <si>
    <t>(0.122)</t>
  </si>
  <si>
    <t>(0.093)</t>
  </si>
  <si>
    <t>(0.169)</t>
  </si>
  <si>
    <t>-0.134 .</t>
  </si>
  <si>
    <t>-0.062</t>
  </si>
  <si>
    <t>0.073 .</t>
  </si>
  <si>
    <t>0.472 .</t>
  </si>
  <si>
    <t>0.230</t>
  </si>
  <si>
    <t>(0.252)</t>
  </si>
  <si>
    <t>(0.234)</t>
  </si>
  <si>
    <t>(0.193)</t>
  </si>
  <si>
    <t>(0.209)</t>
  </si>
  <si>
    <t>log_textLengthCNAI_fillna</t>
  </si>
  <si>
    <t>AI Answer</t>
  </si>
  <si>
    <t>Human Answer</t>
  </si>
  <si>
    <t>AI</t>
  </si>
  <si>
    <t>Human</t>
  </si>
  <si>
    <t>mean</t>
  </si>
  <si>
    <t>std</t>
  </si>
  <si>
    <t>AISimWithOpus47_fillna</t>
  </si>
  <si>
    <t>Variable</t>
  </si>
  <si>
    <t>Mean and SD</t>
  </si>
  <si>
    <t>Min</t>
  </si>
  <si>
    <t>Max</t>
  </si>
  <si>
    <t>All samples</t>
  </si>
  <si>
    <t>Treatment group</t>
  </si>
  <si>
    <t>Control group</t>
  </si>
  <si>
    <t>question length (number of Chinese characters)</t>
  </si>
  <si>
    <t>number of human-generated answers received by a question</t>
  </si>
  <si>
    <t>average number of net likes received by all the answers to a question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</si>
  <si>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</si>
  <si>
    <t>question controls</t>
  </si>
  <si>
    <t>√</t>
  </si>
  <si>
    <t>questioner controls</t>
  </si>
  <si>
    <t>question timing FE</t>
  </si>
  <si>
    <t>N</t>
  </si>
  <si>
    <t>(1)</t>
  </si>
  <si>
    <t>(2)</t>
  </si>
  <si>
    <t>(3)</t>
  </si>
  <si>
    <t>(4)</t>
  </si>
  <si>
    <t>3,613</t>
  </si>
  <si>
    <t>DV:</t>
  </si>
  <si>
    <t>log of the number of human answers provided within 7 days (answerNumi)</t>
  </si>
  <si>
    <t>3,603</t>
  </si>
  <si>
    <t>harzard first human answer (harzardFirstHumani)</t>
  </si>
  <si>
    <t>log of the number of following answers provided within 7 days (answerNumi)</t>
  </si>
  <si>
    <t>harzard second answer (harzardSecondAnsi)</t>
  </si>
  <si>
    <t>3,173</t>
  </si>
  <si>
    <t>similarity between the fisrt answer and the second answer</t>
  </si>
  <si>
    <t>1,913</t>
  </si>
  <si>
    <t>1,888</t>
  </si>
  <si>
    <t>similarity between the second answer to the first answer</t>
  </si>
  <si>
    <t>similarity between the first answer and LLM</t>
  </si>
  <si>
    <t>log of length for AI-generated answer (with 0 filled for control group)</t>
  </si>
  <si>
    <t xml:space="preserve">log of length for the first answer </t>
  </si>
  <si>
    <t>similarity between AI-generated answer and LLM (with 0 filled for control group)</t>
  </si>
  <si>
    <r>
      <t>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</si>
  <si>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</si>
  <si>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</si>
  <si>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</si>
  <si>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</si>
  <si>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AISimWithLLM</t>
    </r>
    <r>
      <rPr>
        <i/>
        <vertAlign val="subscript"/>
        <sz val="10"/>
        <color rgb="FF000000"/>
        <rFont val="Times New Roman"/>
        <family val="1"/>
      </rPr>
      <t>i</t>
    </r>
  </si>
  <si>
    <t>No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</si>
</sst>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49" fontId="3" fillId="0" borderId="1" xfId="0" applyNumberFormat="1" applyFon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top"/>
    </xf>
    <xf numFmtId="49" fontId="6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5" fillId="0" borderId="0" xfId="0" applyNumberFormat="1" applyFont="1" applyAlignment="1">
      <alignment horizontal="justify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5" xfId="0" applyNumberFormat="1" applyFont="1" applyBorder="1" applyAlignment="1">
      <alignment horizontal="justify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49" fontId="5" fillId="0" borderId="6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06826111288307"/>
          <c:y val="3.8477365008348238E-2"/>
          <c:w val="0.82366786232425349"/>
          <c:h val="0.80648226543267343"/>
        </c:manualLayout>
      </c:layout>
      <c:scatterChart>
        <c:scatterStyle val="lineMarker"/>
        <c:varyColors val="0"/>
        <c:ser>
          <c:idx val="3"/>
          <c:order val="0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plot'!$B$35:$B$39</c:f>
              <c:numCache>
                <c:formatCode>General</c:formatCode>
                <c:ptCount val="5"/>
                <c:pt idx="0">
                  <c:v>0.25388736600000006</c:v>
                </c:pt>
                <c:pt idx="1">
                  <c:v>0.16054614600000006</c:v>
                </c:pt>
                <c:pt idx="2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7C-4F6F-84F2-4AE63754C4AD}"/>
            </c:ext>
          </c:extLst>
        </c:ser>
        <c:ser>
          <c:idx val="0"/>
          <c:order val="1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plot'!$C$35:$C$40</c:f>
              <c:numCache>
                <c:formatCode>General</c:formatCode>
                <c:ptCount val="6"/>
                <c:pt idx="3">
                  <c:v>-5.4752359999999993E-2</c:v>
                </c:pt>
                <c:pt idx="4">
                  <c:v>-0.124304076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57C-4F6F-84F2-4AE63754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layout>
            <c:manualLayout>
              <c:xMode val="edge"/>
              <c:yMode val="edge"/>
              <c:x val="2.202964591897557E-2"/>
              <c:y val="0.33101743848166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1602810687939"/>
          <c:y val="8.0683756823053135E-2"/>
          <c:w val="0.23270244561593784"/>
          <c:h val="0.11805637801573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plot'!$A$45:$A$46</c:f>
              <c:numCache>
                <c:formatCode>General</c:formatCode>
                <c:ptCount val="2"/>
                <c:pt idx="0">
                  <c:v>0.25836000000000003</c:v>
                </c:pt>
                <c:pt idx="1">
                  <c:v>0.63216220000000001</c:v>
                </c:pt>
              </c:numCache>
            </c:numRef>
          </c:xVal>
          <c:yVal>
            <c:numRef>
              <c:f>'interaction plot'!$C$45:$C$46</c:f>
              <c:numCache>
                <c:formatCode>General</c:formatCode>
                <c:ptCount val="2"/>
                <c:pt idx="0">
                  <c:v>0.12762984000000002</c:v>
                </c:pt>
                <c:pt idx="1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4-4895-8FBF-6774C9D132F7}"/>
            </c:ext>
          </c:extLst>
        </c:ser>
        <c:ser>
          <c:idx val="2"/>
          <c:order val="1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plot'!$A$43:$A$44</c:f>
              <c:numCache>
                <c:formatCode>General</c:formatCode>
                <c:ptCount val="2"/>
                <c:pt idx="0">
                  <c:v>0.40333040000000009</c:v>
                </c:pt>
                <c:pt idx="1">
                  <c:v>0.70744960000000001</c:v>
                </c:pt>
              </c:numCache>
            </c:numRef>
          </c:xVal>
          <c:yVal>
            <c:numRef>
              <c:f>'interaction plot'!$B$43:$B$44</c:f>
              <c:numCache>
                <c:formatCode>General</c:formatCode>
                <c:ptCount val="2"/>
                <c:pt idx="0">
                  <c:v>0.15528220400000003</c:v>
                </c:pt>
                <c:pt idx="1">
                  <c:v>0.272368096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E4-4895-8FBF-6774C9D1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5"/>
        <c:crossBetween val="midCat"/>
      </c:valAx>
      <c:valAx>
        <c:axId val="12735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31647104153175"/>
          <c:y val="4.3437866128041271E-2"/>
          <c:w val="0.8211485468131059"/>
          <c:h val="0.853081134595819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plot'!$B$16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0-7104-40F8-95BE-8E1EEF518DD6}"/>
              </c:ext>
            </c:extLst>
          </c:dPt>
          <c:xVal>
            <c:numRef>
              <c:f>'interaction plot'!$A$17:$A$20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plot'!$B$17:$B$20</c:f>
              <c:numCache>
                <c:formatCode>General</c:formatCode>
                <c:ptCount val="4"/>
                <c:pt idx="0">
                  <c:v>-5.4421707499999999E-2</c:v>
                </c:pt>
                <c:pt idx="1">
                  <c:v>-4.4174824999999862E-3</c:v>
                </c:pt>
                <c:pt idx="2">
                  <c:v>0.22600000000000001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A-4607-8931-2D78CBA2F14B}"/>
            </c:ext>
          </c:extLst>
        </c:ser>
        <c:ser>
          <c:idx val="1"/>
          <c:order val="1"/>
          <c:tx>
            <c:strRef>
              <c:f>'interaction plot'!$C$16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plot'!$A$17:$A$20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plot'!$C$17:$C$20</c:f>
              <c:numCache>
                <c:formatCode>General</c:formatCode>
                <c:ptCount val="4"/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5A-4607-8931-2D78CBA2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166708695010179"/>
          <c:y val="0.10165455671610976"/>
          <c:w val="0.18846405449128323"/>
          <c:h val="0.13327620388496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'interaction plot'!$B$23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plot'!$B$24:$B$27</c:f>
              <c:numCache>
                <c:formatCode>General</c:formatCode>
                <c:ptCount val="4"/>
                <c:pt idx="0">
                  <c:v>-0.30157172450000003</c:v>
                </c:pt>
                <c:pt idx="1">
                  <c:v>-4.9328189499999953E-2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9-F64E-B7E3-49212B2D3212}"/>
            </c:ext>
          </c:extLst>
        </c:ser>
        <c:ser>
          <c:idx val="1"/>
          <c:order val="1"/>
          <c:tx>
            <c:strRef>
              <c:f>'interaction plot'!$C$23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plot'!$C$24:$C$27</c:f>
              <c:numCache>
                <c:formatCode>General</c:formatCode>
                <c:ptCount val="4"/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9-F64E-B7E3-49212B2D3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33</xdr:row>
      <xdr:rowOff>0</xdr:rowOff>
    </xdr:from>
    <xdr:to>
      <xdr:col>10</xdr:col>
      <xdr:colOff>473261</xdr:colOff>
      <xdr:row>51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F35F4-4F78-F09A-1411-301EED5CD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12700</xdr:rowOff>
    </xdr:from>
    <xdr:to>
      <xdr:col>17</xdr:col>
      <xdr:colOff>606612</xdr:colOff>
      <xdr:row>51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2A80C-472F-408F-BEF5-E9C34BF73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22410</xdr:colOff>
      <xdr:row>14</xdr:row>
      <xdr:rowOff>14937</xdr:rowOff>
    </xdr:from>
    <xdr:to>
      <xdr:col>10</xdr:col>
      <xdr:colOff>495671</xdr:colOff>
      <xdr:row>30</xdr:row>
      <xdr:rowOff>3732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249C9-4B8D-4F05-8B32-429BFD89A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374650</xdr:colOff>
      <xdr:row>0</xdr:row>
      <xdr:rowOff>177800</xdr:rowOff>
    </xdr:from>
    <xdr:to>
      <xdr:col>22</xdr:col>
      <xdr:colOff>601756</xdr:colOff>
      <xdr:row>10</xdr:row>
      <xdr:rowOff>69327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AF9530-9074-3D9E-DAB5-C717D273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0350" y="177800"/>
          <a:ext cx="5611906" cy="192352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210F1A9D-14D6-F36B-F88B-196245D7BF08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A55E1214-2FF2-9958-64CA-3203046C9D33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3CBAF0-B5EB-994C-9ACF-5CE39DA6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67501" y="88900"/>
          <a:ext cx="9312730" cy="2946400"/>
        </a:xfrm>
        <a:prstGeom prst="rect">
          <a:avLst/>
        </a:prstGeom>
      </xdr:spPr>
    </xdr:pic>
    <xdr:clientData/>
  </xdr:twoCellAnchor>
  <xdr:twoCellAnchor>
    <xdr:from>
      <xdr:col>10</xdr:col>
      <xdr:colOff>657411</xdr:colOff>
      <xdr:row>14</xdr:row>
      <xdr:rowOff>-1</xdr:rowOff>
    </xdr:from>
    <xdr:to>
      <xdr:col>17</xdr:col>
      <xdr:colOff>559919</xdr:colOff>
      <xdr:row>29</xdr:row>
      <xdr:rowOff>190499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74491E-7B00-A841-95C2-90A9D4479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1:X90"/>
  <sheetViews>
    <sheetView topLeftCell="A23" zoomScaleNormal="100" workbookViewId="0">
      <selection activeCell="K56" sqref="K56:L67"/>
    </sheetView>
  </sheetViews>
  <sheetFormatPr baseColWidth="10" defaultColWidth="10.83203125" defaultRowHeight="16" x14ac:dyDescent="0.2"/>
  <cols>
    <col min="1" max="1" width="10.83203125" style="1"/>
    <col min="2" max="2" width="27.164062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9" bestFit="1" customWidth="1"/>
    <col min="9" max="9" width="10.33203125" style="9" bestFit="1" customWidth="1"/>
    <col min="10" max="10" width="13.83203125" style="9" bestFit="1" customWidth="1"/>
    <col min="11" max="11" width="14" style="2" customWidth="1"/>
    <col min="12" max="12" width="13.83203125" style="2" customWidth="1"/>
    <col min="13" max="13" width="10.83203125" style="1"/>
    <col min="14" max="14" width="68.83203125" style="1" customWidth="1"/>
    <col min="15" max="15" width="31" style="1" bestFit="1" customWidth="1"/>
    <col min="16" max="19" width="10.83203125" style="1"/>
    <col min="20" max="20" width="13.33203125" style="1" bestFit="1" customWidth="1"/>
    <col min="21" max="22" width="10.83203125" style="1"/>
    <col min="23" max="23" width="17" style="1" customWidth="1"/>
    <col min="24" max="24" width="9" style="1" bestFit="1" customWidth="1"/>
    <col min="25" max="16384" width="10.83203125" style="1"/>
  </cols>
  <sheetData>
    <row r="1" spans="2:12" hidden="1" x14ac:dyDescent="0.2"/>
    <row r="2" spans="2:12" hidden="1" x14ac:dyDescent="0.2">
      <c r="B2" s="27" t="s">
        <v>179</v>
      </c>
      <c r="C2" s="3"/>
      <c r="D2" s="29" t="s">
        <v>0</v>
      </c>
      <c r="E2" s="29"/>
      <c r="F2" s="29" t="s">
        <v>1</v>
      </c>
      <c r="G2" s="29"/>
      <c r="H2" s="8" t="s">
        <v>124</v>
      </c>
      <c r="I2" s="8" t="s">
        <v>125</v>
      </c>
      <c r="J2" s="8" t="s">
        <v>126</v>
      </c>
      <c r="K2" s="29" t="s">
        <v>2</v>
      </c>
      <c r="L2" s="29"/>
    </row>
    <row r="3" spans="2:12" hidden="1" x14ac:dyDescent="0.2">
      <c r="B3" s="28"/>
      <c r="C3" s="25" t="s">
        <v>5</v>
      </c>
      <c r="D3" s="4" t="s">
        <v>6</v>
      </c>
      <c r="E3" s="4" t="s">
        <v>15</v>
      </c>
      <c r="F3" s="4" t="s">
        <v>7</v>
      </c>
      <c r="G3" s="4" t="s">
        <v>8</v>
      </c>
      <c r="H3" s="8" t="s">
        <v>43</v>
      </c>
      <c r="I3" s="8" t="s">
        <v>49</v>
      </c>
      <c r="J3" s="8" t="s">
        <v>50</v>
      </c>
      <c r="K3" s="4" t="s">
        <v>9</v>
      </c>
      <c r="L3" s="4" t="s">
        <v>44</v>
      </c>
    </row>
    <row r="4" spans="2:12" hidden="1" x14ac:dyDescent="0.2">
      <c r="B4" s="28"/>
      <c r="C4" s="26"/>
      <c r="D4" s="4" t="s">
        <v>16</v>
      </c>
      <c r="E4" s="4" t="s">
        <v>17</v>
      </c>
      <c r="F4" s="4" t="s">
        <v>18</v>
      </c>
      <c r="G4" s="4" t="s">
        <v>19</v>
      </c>
      <c r="H4" s="8" t="s">
        <v>51</v>
      </c>
      <c r="I4" s="8" t="s">
        <v>52</v>
      </c>
      <c r="J4" s="8" t="s">
        <v>17</v>
      </c>
      <c r="K4" s="4" t="s">
        <v>22</v>
      </c>
      <c r="L4" s="4" t="s">
        <v>24</v>
      </c>
    </row>
    <row r="5" spans="2:12" hidden="1" x14ac:dyDescent="0.2">
      <c r="B5" s="28"/>
      <c r="C5" s="25" t="s">
        <v>11</v>
      </c>
      <c r="D5" s="4"/>
      <c r="E5" s="4" t="s">
        <v>25</v>
      </c>
      <c r="F5" s="4"/>
      <c r="G5" s="4" t="s">
        <v>12</v>
      </c>
      <c r="H5" s="8" t="s">
        <v>53</v>
      </c>
      <c r="I5" s="8" t="s">
        <v>54</v>
      </c>
      <c r="J5" s="8" t="s">
        <v>55</v>
      </c>
      <c r="K5" s="4"/>
      <c r="L5" s="4" t="s">
        <v>56</v>
      </c>
    </row>
    <row r="6" spans="2:12" hidden="1" x14ac:dyDescent="0.2">
      <c r="B6" s="28"/>
      <c r="C6" s="26"/>
      <c r="D6" s="4"/>
      <c r="E6" s="4" t="s">
        <v>26</v>
      </c>
      <c r="F6" s="4"/>
      <c r="G6" s="4" t="s">
        <v>27</v>
      </c>
      <c r="H6" s="8" t="s">
        <v>57</v>
      </c>
      <c r="I6" s="8" t="s">
        <v>28</v>
      </c>
      <c r="J6" s="8" t="s">
        <v>26</v>
      </c>
      <c r="K6" s="4"/>
      <c r="L6" s="4" t="s">
        <v>26</v>
      </c>
    </row>
    <row r="7" spans="2:12" hidden="1" x14ac:dyDescent="0.2">
      <c r="B7" s="28"/>
      <c r="C7" s="25" t="s">
        <v>13</v>
      </c>
      <c r="D7" s="4"/>
      <c r="E7" s="4" t="s">
        <v>31</v>
      </c>
      <c r="F7" s="4"/>
      <c r="G7" s="4" t="s">
        <v>32</v>
      </c>
      <c r="H7" s="8" t="s">
        <v>45</v>
      </c>
      <c r="I7" s="8" t="s">
        <v>46</v>
      </c>
      <c r="J7" s="8" t="s">
        <v>47</v>
      </c>
      <c r="K7" s="4"/>
      <c r="L7" s="4" t="s">
        <v>48</v>
      </c>
    </row>
    <row r="8" spans="2:12" hidden="1" x14ac:dyDescent="0.2">
      <c r="B8" s="28"/>
      <c r="C8" s="26"/>
      <c r="D8" s="4"/>
      <c r="E8" s="4" t="s">
        <v>33</v>
      </c>
      <c r="F8" s="4"/>
      <c r="G8" s="4" t="s">
        <v>34</v>
      </c>
      <c r="H8" s="8" t="s">
        <v>58</v>
      </c>
      <c r="I8" s="8" t="s">
        <v>59</v>
      </c>
      <c r="J8" s="8" t="s">
        <v>60</v>
      </c>
      <c r="K8" s="4"/>
      <c r="L8" s="4" t="s">
        <v>27</v>
      </c>
    </row>
    <row r="9" spans="2:12" hidden="1" x14ac:dyDescent="0.2">
      <c r="B9" s="28"/>
      <c r="C9" s="3" t="s">
        <v>14</v>
      </c>
      <c r="D9" s="4" t="s">
        <v>38</v>
      </c>
      <c r="E9" s="4" t="s">
        <v>39</v>
      </c>
      <c r="F9" s="4" t="s">
        <v>38</v>
      </c>
      <c r="G9" s="4" t="s">
        <v>39</v>
      </c>
      <c r="H9" s="8" t="s">
        <v>61</v>
      </c>
      <c r="I9" s="8" t="s">
        <v>61</v>
      </c>
      <c r="J9" s="8" t="s">
        <v>61</v>
      </c>
      <c r="K9" s="4" t="s">
        <v>40</v>
      </c>
      <c r="L9" s="4" t="s">
        <v>62</v>
      </c>
    </row>
    <row r="10" spans="2:12" hidden="1" x14ac:dyDescent="0.2"/>
    <row r="11" spans="2:12" hidden="1" x14ac:dyDescent="0.2">
      <c r="B11" s="27" t="s">
        <v>180</v>
      </c>
      <c r="C11" s="3"/>
      <c r="D11" s="29" t="s">
        <v>3</v>
      </c>
      <c r="E11" s="29"/>
      <c r="F11" s="29" t="s">
        <v>4</v>
      </c>
      <c r="G11" s="29"/>
      <c r="H11" s="8" t="s">
        <v>124</v>
      </c>
      <c r="I11" s="8" t="s">
        <v>125</v>
      </c>
      <c r="J11" s="8" t="s">
        <v>126</v>
      </c>
      <c r="K11" s="29" t="s">
        <v>127</v>
      </c>
      <c r="L11" s="29"/>
    </row>
    <row r="12" spans="2:12" hidden="1" x14ac:dyDescent="0.2">
      <c r="B12" s="28"/>
      <c r="C12" s="25" t="s">
        <v>5</v>
      </c>
      <c r="D12" s="4" t="s">
        <v>128</v>
      </c>
      <c r="E12" s="4" t="s">
        <v>181</v>
      </c>
      <c r="F12" s="4" t="s">
        <v>10</v>
      </c>
      <c r="G12" s="4" t="s">
        <v>182</v>
      </c>
      <c r="H12" s="8" t="s">
        <v>183</v>
      </c>
      <c r="I12" s="8" t="s">
        <v>184</v>
      </c>
      <c r="J12" s="8" t="s">
        <v>206</v>
      </c>
      <c r="K12" s="4" t="s">
        <v>64</v>
      </c>
      <c r="L12" s="4" t="s">
        <v>185</v>
      </c>
    </row>
    <row r="13" spans="2:12" hidden="1" x14ac:dyDescent="0.2">
      <c r="B13" s="28"/>
      <c r="C13" s="26"/>
      <c r="D13" s="4" t="s">
        <v>29</v>
      </c>
      <c r="E13" s="4" t="s">
        <v>207</v>
      </c>
      <c r="F13" s="4" t="s">
        <v>24</v>
      </c>
      <c r="G13" s="4" t="s">
        <v>208</v>
      </c>
      <c r="H13" s="8" t="s">
        <v>209</v>
      </c>
      <c r="I13" s="8" t="s">
        <v>210</v>
      </c>
      <c r="J13" s="8" t="s">
        <v>135</v>
      </c>
      <c r="K13" s="4" t="s">
        <v>65</v>
      </c>
      <c r="L13" s="4" t="s">
        <v>18</v>
      </c>
    </row>
    <row r="14" spans="2:12" hidden="1" x14ac:dyDescent="0.2">
      <c r="B14" s="28"/>
      <c r="C14" s="25" t="s">
        <v>186</v>
      </c>
      <c r="D14" s="4"/>
      <c r="E14" s="4" t="s">
        <v>140</v>
      </c>
      <c r="F14" s="4"/>
      <c r="G14" s="4" t="s">
        <v>187</v>
      </c>
      <c r="H14" s="8" t="s">
        <v>188</v>
      </c>
      <c r="I14" s="8" t="s">
        <v>189</v>
      </c>
      <c r="J14" s="8" t="s">
        <v>190</v>
      </c>
      <c r="K14" s="4"/>
      <c r="L14" s="4" t="s">
        <v>191</v>
      </c>
    </row>
    <row r="15" spans="2:12" hidden="1" x14ac:dyDescent="0.2">
      <c r="B15" s="28"/>
      <c r="C15" s="26"/>
      <c r="D15" s="4"/>
      <c r="E15" s="4" t="s">
        <v>211</v>
      </c>
      <c r="F15" s="4"/>
      <c r="G15" s="4" t="s">
        <v>212</v>
      </c>
      <c r="H15" s="8" t="s">
        <v>16</v>
      </c>
      <c r="I15" s="8" t="s">
        <v>213</v>
      </c>
      <c r="J15" s="8" t="s">
        <v>211</v>
      </c>
      <c r="K15" s="4"/>
      <c r="L15" s="4" t="s">
        <v>214</v>
      </c>
    </row>
    <row r="16" spans="2:12" hidden="1" x14ac:dyDescent="0.2">
      <c r="B16" s="28"/>
      <c r="C16" s="25" t="s">
        <v>228</v>
      </c>
      <c r="D16" s="4"/>
      <c r="E16" s="4" t="s">
        <v>192</v>
      </c>
      <c r="F16" s="4"/>
      <c r="G16" s="4" t="s">
        <v>193</v>
      </c>
      <c r="H16" s="8" t="s">
        <v>194</v>
      </c>
      <c r="I16" s="8" t="s">
        <v>195</v>
      </c>
      <c r="J16" s="8" t="s">
        <v>196</v>
      </c>
      <c r="K16" s="4"/>
      <c r="L16" s="4" t="s">
        <v>197</v>
      </c>
    </row>
    <row r="17" spans="2:24" hidden="1" x14ac:dyDescent="0.2">
      <c r="B17" s="28"/>
      <c r="C17" s="26"/>
      <c r="D17" s="4"/>
      <c r="E17" s="4" t="s">
        <v>215</v>
      </c>
      <c r="F17" s="4"/>
      <c r="G17" s="4" t="s">
        <v>216</v>
      </c>
      <c r="H17" s="8" t="s">
        <v>60</v>
      </c>
      <c r="I17" s="8" t="s">
        <v>37</v>
      </c>
      <c r="J17" s="8" t="s">
        <v>217</v>
      </c>
      <c r="K17" s="4"/>
      <c r="L17" s="4" t="s">
        <v>218</v>
      </c>
    </row>
    <row r="18" spans="2:24" hidden="1" x14ac:dyDescent="0.2">
      <c r="B18" s="28"/>
      <c r="C18" s="25" t="s">
        <v>134</v>
      </c>
      <c r="D18" s="4"/>
      <c r="E18" s="4" t="s">
        <v>219</v>
      </c>
      <c r="F18" s="4"/>
      <c r="G18" s="4" t="s">
        <v>80</v>
      </c>
      <c r="H18" s="8" t="s">
        <v>220</v>
      </c>
      <c r="I18" s="8" t="s">
        <v>198</v>
      </c>
      <c r="J18" s="8" t="s">
        <v>199</v>
      </c>
      <c r="K18" s="4"/>
      <c r="L18" s="4" t="s">
        <v>221</v>
      </c>
    </row>
    <row r="19" spans="2:24" hidden="1" x14ac:dyDescent="0.2">
      <c r="B19" s="28"/>
      <c r="C19" s="26"/>
      <c r="D19" s="4"/>
      <c r="E19" s="4" t="s">
        <v>222</v>
      </c>
      <c r="F19" s="4"/>
      <c r="G19" s="4" t="s">
        <v>223</v>
      </c>
      <c r="H19" s="8" t="s">
        <v>222</v>
      </c>
      <c r="I19" s="8" t="s">
        <v>218</v>
      </c>
      <c r="J19" s="8" t="s">
        <v>224</v>
      </c>
      <c r="K19" s="4"/>
      <c r="L19" s="4" t="s">
        <v>211</v>
      </c>
    </row>
    <row r="20" spans="2:24" hidden="1" x14ac:dyDescent="0.2">
      <c r="B20" s="28"/>
      <c r="C20" s="25" t="s">
        <v>139</v>
      </c>
      <c r="D20" s="4"/>
      <c r="E20" s="4" t="s">
        <v>200</v>
      </c>
      <c r="F20" s="4"/>
      <c r="G20" s="4" t="s">
        <v>201</v>
      </c>
      <c r="H20" s="8" t="s">
        <v>202</v>
      </c>
      <c r="I20" s="8" t="s">
        <v>203</v>
      </c>
      <c r="J20" s="8" t="s">
        <v>204</v>
      </c>
      <c r="K20" s="4"/>
      <c r="L20" s="4" t="s">
        <v>205</v>
      </c>
    </row>
    <row r="21" spans="2:24" hidden="1" x14ac:dyDescent="0.2">
      <c r="B21" s="28"/>
      <c r="C21" s="26"/>
      <c r="D21" s="4"/>
      <c r="E21" s="4" t="s">
        <v>143</v>
      </c>
      <c r="F21" s="4"/>
      <c r="G21" s="4" t="s">
        <v>225</v>
      </c>
      <c r="H21" s="8" t="s">
        <v>226</v>
      </c>
      <c r="I21" s="8" t="s">
        <v>136</v>
      </c>
      <c r="J21" s="8" t="s">
        <v>35</v>
      </c>
      <c r="K21" s="4"/>
      <c r="L21" s="4" t="s">
        <v>227</v>
      </c>
    </row>
    <row r="22" spans="2:24" hidden="1" x14ac:dyDescent="0.2">
      <c r="B22" s="28"/>
      <c r="C22" s="3" t="s">
        <v>14</v>
      </c>
      <c r="D22" s="4" t="s">
        <v>38</v>
      </c>
      <c r="E22" s="4" t="s">
        <v>137</v>
      </c>
      <c r="F22" s="4" t="s">
        <v>38</v>
      </c>
      <c r="G22" s="4" t="s">
        <v>137</v>
      </c>
      <c r="H22" s="8" t="s">
        <v>100</v>
      </c>
      <c r="I22" s="8" t="s">
        <v>100</v>
      </c>
      <c r="J22" s="8" t="s">
        <v>100</v>
      </c>
      <c r="K22" s="4" t="s">
        <v>66</v>
      </c>
      <c r="L22" s="4" t="s">
        <v>138</v>
      </c>
    </row>
    <row r="23" spans="2:24" x14ac:dyDescent="0.2">
      <c r="B23" s="10"/>
      <c r="N23" s="10"/>
      <c r="P23" s="2"/>
      <c r="Q23" s="2"/>
      <c r="R23" s="2"/>
      <c r="S23" s="2"/>
      <c r="T23" s="11"/>
      <c r="U23" s="11"/>
      <c r="V23" s="11"/>
      <c r="W23" s="11"/>
      <c r="X23" s="11"/>
    </row>
    <row r="24" spans="2:24" x14ac:dyDescent="0.2">
      <c r="B24" s="10"/>
      <c r="N24" s="10"/>
      <c r="P24" s="2"/>
      <c r="Q24" s="2"/>
      <c r="R24" s="2"/>
      <c r="S24" s="2"/>
      <c r="T24" s="11"/>
      <c r="U24" s="11"/>
      <c r="V24" s="11"/>
      <c r="W24" s="11"/>
      <c r="X24" s="11"/>
    </row>
    <row r="25" spans="2:24" hidden="1" x14ac:dyDescent="0.2">
      <c r="B25" s="27" t="s">
        <v>177</v>
      </c>
      <c r="C25" s="3"/>
      <c r="D25" s="29" t="s">
        <v>0</v>
      </c>
      <c r="E25" s="29"/>
      <c r="F25" s="29" t="s">
        <v>1</v>
      </c>
      <c r="G25" s="29"/>
      <c r="H25" s="8" t="s">
        <v>124</v>
      </c>
      <c r="I25" s="8" t="s">
        <v>125</v>
      </c>
      <c r="J25" s="8" t="s">
        <v>126</v>
      </c>
      <c r="K25" s="29" t="s">
        <v>2</v>
      </c>
      <c r="L25" s="29"/>
      <c r="N25" s="10"/>
      <c r="P25" s="2"/>
      <c r="Q25" s="2"/>
      <c r="R25" s="2"/>
      <c r="S25" s="2"/>
      <c r="T25" s="11"/>
      <c r="U25" s="11"/>
      <c r="V25" s="11"/>
      <c r="W25" s="11"/>
      <c r="X25" s="11"/>
    </row>
    <row r="26" spans="2:24" hidden="1" x14ac:dyDescent="0.2">
      <c r="B26" s="28"/>
      <c r="C26" s="25" t="s">
        <v>5</v>
      </c>
      <c r="D26" s="4" t="s">
        <v>6</v>
      </c>
      <c r="E26" s="4" t="s">
        <v>15</v>
      </c>
      <c r="F26" s="4" t="s">
        <v>7</v>
      </c>
      <c r="G26" s="4" t="s">
        <v>8</v>
      </c>
      <c r="H26" s="8" t="s">
        <v>154</v>
      </c>
      <c r="I26" s="8" t="s">
        <v>93</v>
      </c>
      <c r="J26" s="8" t="s">
        <v>155</v>
      </c>
      <c r="K26" s="4" t="s">
        <v>103</v>
      </c>
      <c r="L26" s="4" t="s">
        <v>156</v>
      </c>
      <c r="N26" s="10"/>
      <c r="P26" s="2"/>
      <c r="Q26" s="2"/>
      <c r="R26" s="2"/>
      <c r="S26" s="2"/>
      <c r="T26" s="11"/>
      <c r="U26" s="11"/>
      <c r="V26" s="11"/>
      <c r="W26" s="11"/>
      <c r="X26" s="11"/>
    </row>
    <row r="27" spans="2:24" hidden="1" x14ac:dyDescent="0.2">
      <c r="B27" s="28"/>
      <c r="C27" s="26"/>
      <c r="D27" s="4" t="s">
        <v>16</v>
      </c>
      <c r="E27" s="4" t="s">
        <v>17</v>
      </c>
      <c r="F27" s="4" t="s">
        <v>18</v>
      </c>
      <c r="G27" s="4" t="s">
        <v>19</v>
      </c>
      <c r="H27" s="8" t="s">
        <v>157</v>
      </c>
      <c r="I27" s="8" t="s">
        <v>158</v>
      </c>
      <c r="J27" s="8" t="s">
        <v>159</v>
      </c>
      <c r="K27" s="4" t="s">
        <v>160</v>
      </c>
      <c r="L27" s="4" t="s">
        <v>161</v>
      </c>
      <c r="N27" s="10"/>
      <c r="P27" s="2"/>
      <c r="Q27" s="2"/>
      <c r="R27" s="2"/>
      <c r="S27" s="2"/>
      <c r="T27" s="11"/>
      <c r="U27" s="11"/>
      <c r="V27" s="11"/>
      <c r="W27" s="11"/>
      <c r="X27" s="11"/>
    </row>
    <row r="28" spans="2:24" hidden="1" x14ac:dyDescent="0.2">
      <c r="B28" s="28"/>
      <c r="C28" s="25" t="s">
        <v>11</v>
      </c>
      <c r="D28" s="4"/>
      <c r="E28" s="4" t="s">
        <v>25</v>
      </c>
      <c r="F28" s="4"/>
      <c r="G28" s="4" t="s">
        <v>12</v>
      </c>
      <c r="H28" s="8" t="s">
        <v>56</v>
      </c>
      <c r="I28" s="8" t="s">
        <v>56</v>
      </c>
      <c r="J28" s="8" t="s">
        <v>162</v>
      </c>
      <c r="K28" s="4"/>
      <c r="L28" s="4" t="s">
        <v>97</v>
      </c>
      <c r="N28" s="10"/>
      <c r="P28" s="2"/>
      <c r="Q28" s="2"/>
      <c r="R28" s="2"/>
      <c r="S28" s="2"/>
      <c r="T28" s="11"/>
      <c r="U28" s="11"/>
      <c r="V28" s="11"/>
      <c r="W28" s="11"/>
      <c r="X28" s="11"/>
    </row>
    <row r="29" spans="2:24" hidden="1" x14ac:dyDescent="0.2">
      <c r="B29" s="28"/>
      <c r="C29" s="26"/>
      <c r="D29" s="4"/>
      <c r="E29" s="4" t="s">
        <v>26</v>
      </c>
      <c r="F29" s="4"/>
      <c r="G29" s="4" t="s">
        <v>27</v>
      </c>
      <c r="H29" s="8" t="s">
        <v>30</v>
      </c>
      <c r="I29" s="8" t="s">
        <v>17</v>
      </c>
      <c r="J29" s="8" t="s">
        <v>163</v>
      </c>
      <c r="K29" s="4"/>
      <c r="L29" s="4" t="s">
        <v>164</v>
      </c>
      <c r="N29" s="10"/>
      <c r="P29" s="2"/>
      <c r="Q29" s="2"/>
      <c r="R29" s="2"/>
      <c r="S29" s="2"/>
      <c r="T29" s="11"/>
      <c r="U29" s="11"/>
      <c r="V29" s="11"/>
      <c r="W29" s="11"/>
      <c r="X29" s="11"/>
    </row>
    <row r="30" spans="2:24" hidden="1" x14ac:dyDescent="0.2">
      <c r="B30" s="28"/>
      <c r="C30" s="25" t="s">
        <v>13</v>
      </c>
      <c r="D30" s="4"/>
      <c r="E30" s="4" t="s">
        <v>31</v>
      </c>
      <c r="F30" s="4"/>
      <c r="G30" s="4" t="s">
        <v>32</v>
      </c>
      <c r="H30" s="8" t="s">
        <v>165</v>
      </c>
      <c r="I30" s="8" t="s">
        <v>166</v>
      </c>
      <c r="J30" s="8" t="s">
        <v>153</v>
      </c>
      <c r="K30" s="4"/>
      <c r="L30" s="4" t="s">
        <v>167</v>
      </c>
      <c r="N30" s="10"/>
      <c r="P30" s="2"/>
      <c r="Q30" s="2"/>
      <c r="R30" s="2"/>
      <c r="S30" s="2"/>
      <c r="T30" s="11"/>
      <c r="U30" s="11"/>
      <c r="V30" s="11"/>
      <c r="W30" s="11"/>
      <c r="X30" s="11"/>
    </row>
    <row r="31" spans="2:24" hidden="1" x14ac:dyDescent="0.2">
      <c r="B31" s="28"/>
      <c r="C31" s="26"/>
      <c r="D31" s="4"/>
      <c r="E31" s="4" t="s">
        <v>33</v>
      </c>
      <c r="F31" s="4"/>
      <c r="G31" s="4" t="s">
        <v>34</v>
      </c>
      <c r="H31" s="8" t="s">
        <v>168</v>
      </c>
      <c r="I31" s="8" t="s">
        <v>169</v>
      </c>
      <c r="J31" s="8" t="s">
        <v>34</v>
      </c>
      <c r="K31" s="4"/>
      <c r="L31" s="4" t="s">
        <v>23</v>
      </c>
      <c r="N31" s="10"/>
      <c r="P31" s="2"/>
      <c r="Q31" s="2"/>
      <c r="R31" s="2"/>
      <c r="S31" s="2"/>
      <c r="T31" s="11"/>
      <c r="U31" s="11"/>
      <c r="V31" s="11"/>
      <c r="W31" s="11"/>
      <c r="X31" s="11"/>
    </row>
    <row r="32" spans="2:24" hidden="1" x14ac:dyDescent="0.2">
      <c r="B32" s="28"/>
      <c r="C32" s="3" t="s">
        <v>14</v>
      </c>
      <c r="D32" s="4" t="s">
        <v>38</v>
      </c>
      <c r="E32" s="4" t="s">
        <v>39</v>
      </c>
      <c r="F32" s="4" t="s">
        <v>38</v>
      </c>
      <c r="G32" s="4" t="s">
        <v>39</v>
      </c>
      <c r="H32" s="12" t="s">
        <v>170</v>
      </c>
      <c r="I32" s="12" t="s">
        <v>170</v>
      </c>
      <c r="J32" s="12" t="s">
        <v>170</v>
      </c>
      <c r="K32" s="5" t="s">
        <v>171</v>
      </c>
      <c r="L32" s="5" t="s">
        <v>171</v>
      </c>
      <c r="N32" s="10"/>
      <c r="P32" s="2"/>
      <c r="Q32" s="2"/>
      <c r="R32" s="2"/>
      <c r="S32" s="2"/>
      <c r="T32" s="11"/>
      <c r="U32" s="11"/>
      <c r="V32" s="11"/>
      <c r="W32" s="11"/>
      <c r="X32" s="11"/>
    </row>
    <row r="33" spans="2:24" hidden="1" x14ac:dyDescent="0.2">
      <c r="N33" s="10"/>
      <c r="P33" s="2"/>
      <c r="Q33" s="2"/>
      <c r="R33" s="2"/>
      <c r="S33" s="2"/>
      <c r="T33" s="11"/>
      <c r="U33" s="11"/>
      <c r="V33" s="11"/>
      <c r="W33" s="11"/>
      <c r="X33" s="11"/>
    </row>
    <row r="34" spans="2:24" hidden="1" x14ac:dyDescent="0.2">
      <c r="B34" s="27" t="s">
        <v>178</v>
      </c>
      <c r="C34" s="3"/>
      <c r="D34" s="29" t="s">
        <v>3</v>
      </c>
      <c r="E34" s="29"/>
      <c r="F34" s="29" t="s">
        <v>4</v>
      </c>
      <c r="G34" s="29"/>
      <c r="H34" s="8" t="s">
        <v>124</v>
      </c>
      <c r="I34" s="8" t="s">
        <v>125</v>
      </c>
      <c r="J34" s="8" t="s">
        <v>126</v>
      </c>
      <c r="K34" s="29" t="s">
        <v>127</v>
      </c>
      <c r="L34" s="29"/>
      <c r="N34" s="10"/>
      <c r="P34" s="2"/>
      <c r="Q34" s="2"/>
      <c r="R34" s="2"/>
      <c r="S34" s="2"/>
      <c r="T34" s="11"/>
      <c r="U34" s="11"/>
      <c r="V34" s="11"/>
      <c r="W34" s="11"/>
      <c r="X34" s="11"/>
    </row>
    <row r="35" spans="2:24" hidden="1" x14ac:dyDescent="0.2">
      <c r="B35" s="28"/>
      <c r="C35" s="25" t="s">
        <v>5</v>
      </c>
      <c r="D35" s="4" t="s">
        <v>128</v>
      </c>
      <c r="E35" s="4" t="s">
        <v>181</v>
      </c>
      <c r="F35" s="4" t="s">
        <v>10</v>
      </c>
      <c r="G35" s="4" t="s">
        <v>182</v>
      </c>
      <c r="H35" s="8" t="s">
        <v>288</v>
      </c>
      <c r="I35" s="8" t="s">
        <v>289</v>
      </c>
      <c r="J35" s="8" t="s">
        <v>290</v>
      </c>
      <c r="K35" s="4" t="s">
        <v>123</v>
      </c>
      <c r="L35" s="4" t="s">
        <v>291</v>
      </c>
      <c r="N35" s="10"/>
      <c r="P35" s="2"/>
      <c r="Q35" s="2"/>
      <c r="R35" s="2"/>
      <c r="S35" s="2"/>
      <c r="T35" s="11"/>
      <c r="U35" s="11"/>
      <c r="V35" s="11"/>
      <c r="W35" s="11"/>
      <c r="X35" s="11"/>
    </row>
    <row r="36" spans="2:24" hidden="1" x14ac:dyDescent="0.2">
      <c r="B36" s="28"/>
      <c r="C36" s="26"/>
      <c r="D36" s="4" t="s">
        <v>29</v>
      </c>
      <c r="E36" s="4" t="s">
        <v>207</v>
      </c>
      <c r="F36" s="4" t="s">
        <v>24</v>
      </c>
      <c r="G36" s="4" t="s">
        <v>208</v>
      </c>
      <c r="H36" s="8" t="s">
        <v>23</v>
      </c>
      <c r="I36" s="8" t="s">
        <v>292</v>
      </c>
      <c r="J36" s="8" t="s">
        <v>293</v>
      </c>
      <c r="K36" s="4" t="s">
        <v>99</v>
      </c>
      <c r="L36" s="4" t="s">
        <v>294</v>
      </c>
      <c r="N36" s="10"/>
      <c r="P36" s="2"/>
      <c r="Q36" s="2"/>
      <c r="R36" s="2"/>
      <c r="S36" s="2"/>
      <c r="T36" s="11"/>
      <c r="U36" s="11"/>
      <c r="V36" s="11"/>
      <c r="W36" s="11"/>
      <c r="X36" s="11"/>
    </row>
    <row r="37" spans="2:24" hidden="1" x14ac:dyDescent="0.2">
      <c r="B37" s="28"/>
      <c r="C37" s="25" t="s">
        <v>186</v>
      </c>
      <c r="D37" s="4"/>
      <c r="E37" s="4" t="s">
        <v>140</v>
      </c>
      <c r="F37" s="4"/>
      <c r="G37" s="4" t="s">
        <v>187</v>
      </c>
      <c r="H37" s="8" t="s">
        <v>93</v>
      </c>
      <c r="I37" s="8" t="s">
        <v>295</v>
      </c>
      <c r="J37" s="8" t="s">
        <v>296</v>
      </c>
      <c r="K37" s="4"/>
      <c r="L37" s="4" t="s">
        <v>297</v>
      </c>
      <c r="N37" s="10"/>
      <c r="P37" s="2"/>
      <c r="Q37" s="2"/>
      <c r="R37" s="2"/>
      <c r="S37" s="2"/>
      <c r="T37" s="11"/>
      <c r="U37" s="11"/>
      <c r="V37" s="11"/>
      <c r="W37" s="11"/>
      <c r="X37" s="11"/>
    </row>
    <row r="38" spans="2:24" hidden="1" x14ac:dyDescent="0.2">
      <c r="B38" s="28"/>
      <c r="C38" s="26"/>
      <c r="D38" s="4"/>
      <c r="E38" s="4" t="s">
        <v>211</v>
      </c>
      <c r="F38" s="4"/>
      <c r="G38" s="4" t="s">
        <v>212</v>
      </c>
      <c r="H38" s="8" t="s">
        <v>298</v>
      </c>
      <c r="I38" s="8" t="s">
        <v>299</v>
      </c>
      <c r="J38" s="8" t="s">
        <v>57</v>
      </c>
      <c r="K38" s="4"/>
      <c r="L38" s="4" t="s">
        <v>299</v>
      </c>
      <c r="N38" s="10"/>
      <c r="P38" s="2"/>
      <c r="Q38" s="2"/>
      <c r="R38" s="2"/>
      <c r="S38" s="2"/>
      <c r="T38" s="11"/>
      <c r="U38" s="11"/>
      <c r="V38" s="11"/>
      <c r="W38" s="11"/>
      <c r="X38" s="11"/>
    </row>
    <row r="39" spans="2:24" hidden="1" x14ac:dyDescent="0.2">
      <c r="B39" s="28"/>
      <c r="C39" s="25" t="s">
        <v>228</v>
      </c>
      <c r="D39" s="4"/>
      <c r="E39" s="4" t="s">
        <v>192</v>
      </c>
      <c r="F39" s="4"/>
      <c r="G39" s="4" t="s">
        <v>193</v>
      </c>
      <c r="H39" s="8" t="s">
        <v>300</v>
      </c>
      <c r="I39" s="8" t="s">
        <v>301</v>
      </c>
      <c r="J39" s="8" t="s">
        <v>302</v>
      </c>
      <c r="K39" s="4"/>
      <c r="L39" s="4" t="s">
        <v>303</v>
      </c>
      <c r="N39" s="10"/>
      <c r="P39" s="2"/>
      <c r="Q39" s="2"/>
      <c r="R39" s="2"/>
      <c r="S39" s="2"/>
      <c r="T39" s="11"/>
      <c r="U39" s="11"/>
      <c r="V39" s="11"/>
      <c r="W39" s="11"/>
      <c r="X39" s="11"/>
    </row>
    <row r="40" spans="2:24" hidden="1" x14ac:dyDescent="0.2">
      <c r="B40" s="28"/>
      <c r="C40" s="26"/>
      <c r="D40" s="4"/>
      <c r="E40" s="4" t="s">
        <v>215</v>
      </c>
      <c r="F40" s="4"/>
      <c r="G40" s="4" t="s">
        <v>216</v>
      </c>
      <c r="H40" s="8" t="s">
        <v>304</v>
      </c>
      <c r="I40" s="8" t="s">
        <v>173</v>
      </c>
      <c r="J40" s="8" t="s">
        <v>305</v>
      </c>
      <c r="K40" s="4"/>
      <c r="L40" s="4" t="s">
        <v>306</v>
      </c>
      <c r="N40" s="10"/>
      <c r="P40" s="2"/>
      <c r="Q40" s="2"/>
      <c r="R40" s="2"/>
      <c r="S40" s="2"/>
      <c r="T40" s="11"/>
      <c r="U40" s="11"/>
      <c r="V40" s="11"/>
      <c r="W40" s="11"/>
      <c r="X40" s="11"/>
    </row>
    <row r="41" spans="2:24" hidden="1" x14ac:dyDescent="0.2">
      <c r="B41" s="28"/>
      <c r="C41" s="25" t="s">
        <v>134</v>
      </c>
      <c r="D41" s="4"/>
      <c r="E41" s="4" t="s">
        <v>219</v>
      </c>
      <c r="F41" s="4"/>
      <c r="G41" s="4" t="s">
        <v>80</v>
      </c>
      <c r="H41" s="8" t="s">
        <v>277</v>
      </c>
      <c r="I41" s="8" t="s">
        <v>307</v>
      </c>
      <c r="J41" s="8" t="s">
        <v>308</v>
      </c>
      <c r="K41" s="4"/>
      <c r="L41" s="4" t="s">
        <v>309</v>
      </c>
      <c r="N41" s="10"/>
      <c r="P41" s="2"/>
      <c r="Q41" s="2"/>
      <c r="R41" s="2"/>
      <c r="S41" s="2"/>
      <c r="T41" s="11"/>
      <c r="U41" s="11"/>
      <c r="V41" s="11"/>
      <c r="W41" s="11"/>
      <c r="X41" s="11"/>
    </row>
    <row r="42" spans="2:24" hidden="1" x14ac:dyDescent="0.2">
      <c r="B42" s="28"/>
      <c r="C42" s="26"/>
      <c r="D42" s="4"/>
      <c r="E42" s="4" t="s">
        <v>222</v>
      </c>
      <c r="F42" s="4"/>
      <c r="G42" s="4" t="s">
        <v>223</v>
      </c>
      <c r="H42" s="8" t="s">
        <v>75</v>
      </c>
      <c r="I42" s="8" t="s">
        <v>24</v>
      </c>
      <c r="J42" s="8" t="s">
        <v>119</v>
      </c>
      <c r="K42" s="4"/>
      <c r="L42" s="4" t="s">
        <v>215</v>
      </c>
      <c r="N42" s="10"/>
      <c r="P42" s="2"/>
      <c r="Q42" s="2"/>
      <c r="R42" s="2"/>
      <c r="S42" s="2"/>
      <c r="T42" s="11"/>
      <c r="U42" s="11"/>
      <c r="V42" s="11"/>
      <c r="W42" s="11"/>
      <c r="X42" s="11"/>
    </row>
    <row r="43" spans="2:24" hidden="1" x14ac:dyDescent="0.2">
      <c r="B43" s="28"/>
      <c r="C43" s="25" t="s">
        <v>139</v>
      </c>
      <c r="D43" s="4"/>
      <c r="E43" s="4" t="s">
        <v>200</v>
      </c>
      <c r="F43" s="4"/>
      <c r="G43" s="4" t="s">
        <v>201</v>
      </c>
      <c r="H43" s="8" t="s">
        <v>310</v>
      </c>
      <c r="I43" s="8" t="s">
        <v>172</v>
      </c>
      <c r="J43" s="8" t="s">
        <v>311</v>
      </c>
      <c r="K43" s="4"/>
      <c r="L43" s="4" t="s">
        <v>308</v>
      </c>
      <c r="N43" s="10"/>
      <c r="P43" s="2"/>
      <c r="Q43" s="2"/>
      <c r="R43" s="2"/>
      <c r="S43" s="2"/>
      <c r="T43" s="11"/>
      <c r="U43" s="11"/>
      <c r="V43" s="11"/>
      <c r="W43" s="11"/>
      <c r="X43" s="11"/>
    </row>
    <row r="44" spans="2:24" hidden="1" x14ac:dyDescent="0.2">
      <c r="B44" s="28"/>
      <c r="C44" s="26"/>
      <c r="D44" s="4"/>
      <c r="E44" s="4" t="s">
        <v>143</v>
      </c>
      <c r="F44" s="4"/>
      <c r="G44" s="4" t="s">
        <v>225</v>
      </c>
      <c r="H44" s="8" t="s">
        <v>312</v>
      </c>
      <c r="I44" s="8" t="s">
        <v>313</v>
      </c>
      <c r="J44" s="8" t="s">
        <v>314</v>
      </c>
      <c r="K44" s="4"/>
      <c r="L44" s="4" t="s">
        <v>315</v>
      </c>
      <c r="N44" s="10"/>
      <c r="P44" s="2"/>
      <c r="Q44" s="2"/>
      <c r="R44" s="2"/>
      <c r="S44" s="2"/>
      <c r="T44" s="11"/>
      <c r="U44" s="11"/>
      <c r="V44" s="11"/>
      <c r="W44" s="11"/>
      <c r="X44" s="11"/>
    </row>
    <row r="45" spans="2:24" hidden="1" x14ac:dyDescent="0.2">
      <c r="B45" s="28"/>
      <c r="C45" s="3" t="s">
        <v>14</v>
      </c>
      <c r="D45" s="4" t="s">
        <v>38</v>
      </c>
      <c r="E45" s="4" t="s">
        <v>137</v>
      </c>
      <c r="F45" s="4" t="s">
        <v>38</v>
      </c>
      <c r="G45" s="4" t="s">
        <v>137</v>
      </c>
      <c r="H45" s="12" t="s">
        <v>174</v>
      </c>
      <c r="I45" s="12" t="s">
        <v>174</v>
      </c>
      <c r="J45" s="12" t="s">
        <v>174</v>
      </c>
      <c r="K45" s="5" t="s">
        <v>175</v>
      </c>
      <c r="L45" s="5" t="s">
        <v>176</v>
      </c>
      <c r="N45" s="10"/>
      <c r="P45" s="2"/>
      <c r="Q45" s="2"/>
      <c r="R45" s="2"/>
      <c r="S45" s="2"/>
      <c r="T45" s="11"/>
      <c r="U45" s="11"/>
      <c r="V45" s="11"/>
      <c r="W45" s="11"/>
      <c r="X45" s="11"/>
    </row>
    <row r="46" spans="2:24" hidden="1" x14ac:dyDescent="0.2"/>
    <row r="47" spans="2:24" x14ac:dyDescent="0.2">
      <c r="B47" s="27" t="s">
        <v>130</v>
      </c>
      <c r="C47" s="3"/>
      <c r="D47" s="29" t="s">
        <v>0</v>
      </c>
      <c r="E47" s="29"/>
      <c r="F47" s="29" t="s">
        <v>1</v>
      </c>
      <c r="G47" s="29"/>
      <c r="H47" s="13" t="s">
        <v>124</v>
      </c>
      <c r="I47" s="13" t="s">
        <v>125</v>
      </c>
      <c r="J47" s="13" t="s">
        <v>126</v>
      </c>
      <c r="K47" s="30" t="s">
        <v>2</v>
      </c>
      <c r="L47" s="30"/>
    </row>
    <row r="48" spans="2:24" x14ac:dyDescent="0.2">
      <c r="B48" s="28"/>
      <c r="C48" s="25" t="s">
        <v>5</v>
      </c>
      <c r="D48" s="7" t="s">
        <v>6</v>
      </c>
      <c r="E48" s="4" t="s">
        <v>67</v>
      </c>
      <c r="F48" s="4" t="s">
        <v>7</v>
      </c>
      <c r="G48" s="4" t="s">
        <v>68</v>
      </c>
      <c r="H48" s="13" t="s">
        <v>69</v>
      </c>
      <c r="I48" s="13" t="s">
        <v>70</v>
      </c>
      <c r="J48" s="13" t="s">
        <v>71</v>
      </c>
      <c r="K48" s="13" t="s">
        <v>9</v>
      </c>
      <c r="L48" s="13" t="s">
        <v>72</v>
      </c>
    </row>
    <row r="49" spans="2:12" x14ac:dyDescent="0.2">
      <c r="B49" s="28"/>
      <c r="C49" s="26"/>
      <c r="D49" s="4" t="s">
        <v>16</v>
      </c>
      <c r="E49" s="4" t="s">
        <v>30</v>
      </c>
      <c r="F49" s="4" t="s">
        <v>18</v>
      </c>
      <c r="G49" s="4" t="s">
        <v>73</v>
      </c>
      <c r="H49" s="13" t="s">
        <v>74</v>
      </c>
      <c r="I49" s="13" t="s">
        <v>51</v>
      </c>
      <c r="J49" s="13" t="s">
        <v>75</v>
      </c>
      <c r="K49" s="13" t="s">
        <v>22</v>
      </c>
      <c r="L49" s="13" t="s">
        <v>30</v>
      </c>
    </row>
    <row r="50" spans="2:12" x14ac:dyDescent="0.2">
      <c r="B50" s="28"/>
      <c r="C50" s="25" t="s">
        <v>11</v>
      </c>
      <c r="D50" s="4"/>
      <c r="E50" s="4" t="s">
        <v>76</v>
      </c>
      <c r="F50" s="4"/>
      <c r="G50" s="4" t="s">
        <v>77</v>
      </c>
      <c r="H50" s="13" t="s">
        <v>53</v>
      </c>
      <c r="I50" s="13" t="s">
        <v>56</v>
      </c>
      <c r="J50" s="13" t="s">
        <v>55</v>
      </c>
      <c r="K50" s="13"/>
      <c r="L50" s="13" t="s">
        <v>41</v>
      </c>
    </row>
    <row r="51" spans="2:12" x14ac:dyDescent="0.2">
      <c r="B51" s="28"/>
      <c r="C51" s="26"/>
      <c r="D51" s="4"/>
      <c r="E51" s="4" t="s">
        <v>26</v>
      </c>
      <c r="F51" s="4"/>
      <c r="G51" s="4" t="s">
        <v>78</v>
      </c>
      <c r="H51" s="13" t="s">
        <v>57</v>
      </c>
      <c r="I51" s="13" t="s">
        <v>28</v>
      </c>
      <c r="J51" s="13" t="s">
        <v>26</v>
      </c>
      <c r="K51" s="13"/>
      <c r="L51" s="13" t="s">
        <v>26</v>
      </c>
    </row>
    <row r="52" spans="2:12" x14ac:dyDescent="0.2">
      <c r="B52" s="28"/>
      <c r="C52" s="25" t="s">
        <v>79</v>
      </c>
      <c r="D52" s="4"/>
      <c r="E52" s="4" t="s">
        <v>80</v>
      </c>
      <c r="F52" s="4"/>
      <c r="G52" s="4" t="s">
        <v>81</v>
      </c>
      <c r="H52" s="13" t="s">
        <v>82</v>
      </c>
      <c r="I52" s="13" t="s">
        <v>83</v>
      </c>
      <c r="J52" s="13" t="s">
        <v>84</v>
      </c>
      <c r="K52" s="13"/>
      <c r="L52" s="13" t="s">
        <v>42</v>
      </c>
    </row>
    <row r="53" spans="2:12" x14ac:dyDescent="0.2">
      <c r="B53" s="28"/>
      <c r="C53" s="26"/>
      <c r="D53" s="4"/>
      <c r="E53" s="4" t="s">
        <v>85</v>
      </c>
      <c r="F53" s="4"/>
      <c r="G53" s="4" t="s">
        <v>86</v>
      </c>
      <c r="H53" s="13" t="s">
        <v>87</v>
      </c>
      <c r="I53" s="13" t="s">
        <v>88</v>
      </c>
      <c r="J53" s="13" t="s">
        <v>36</v>
      </c>
      <c r="K53" s="13"/>
      <c r="L53" s="13" t="s">
        <v>89</v>
      </c>
    </row>
    <row r="54" spans="2:12" x14ac:dyDescent="0.2">
      <c r="B54" s="28"/>
      <c r="C54" s="3" t="s">
        <v>14</v>
      </c>
      <c r="D54" s="4" t="s">
        <v>38</v>
      </c>
      <c r="E54" s="4" t="s">
        <v>90</v>
      </c>
      <c r="F54" s="4" t="s">
        <v>38</v>
      </c>
      <c r="G54" s="4" t="s">
        <v>90</v>
      </c>
      <c r="H54" s="13" t="s">
        <v>91</v>
      </c>
      <c r="I54" s="13" t="s">
        <v>91</v>
      </c>
      <c r="J54" s="13" t="s">
        <v>91</v>
      </c>
      <c r="K54" s="13" t="s">
        <v>40</v>
      </c>
      <c r="L54" s="13" t="s">
        <v>92</v>
      </c>
    </row>
    <row r="56" spans="2:12" x14ac:dyDescent="0.2">
      <c r="B56" s="27" t="s">
        <v>131</v>
      </c>
      <c r="C56" s="3"/>
      <c r="D56" s="29" t="s">
        <v>3</v>
      </c>
      <c r="E56" s="29"/>
      <c r="F56" s="29" t="s">
        <v>4</v>
      </c>
      <c r="G56" s="29"/>
      <c r="H56" s="8" t="s">
        <v>124</v>
      </c>
      <c r="I56" s="8" t="s">
        <v>125</v>
      </c>
      <c r="J56" s="8" t="s">
        <v>126</v>
      </c>
      <c r="K56" s="29" t="s">
        <v>127</v>
      </c>
      <c r="L56" s="29"/>
    </row>
    <row r="57" spans="2:12" x14ac:dyDescent="0.2">
      <c r="B57" s="28"/>
      <c r="C57" s="25" t="s">
        <v>5</v>
      </c>
      <c r="D57" s="7" t="s">
        <v>128</v>
      </c>
      <c r="E57" s="4" t="s">
        <v>205</v>
      </c>
      <c r="F57" s="4" t="s">
        <v>10</v>
      </c>
      <c r="G57" s="4" t="s">
        <v>260</v>
      </c>
      <c r="H57" s="8" t="s">
        <v>153</v>
      </c>
      <c r="I57" s="8" t="s">
        <v>261</v>
      </c>
      <c r="J57" s="8" t="s">
        <v>262</v>
      </c>
      <c r="K57" s="4" t="s">
        <v>64</v>
      </c>
      <c r="L57" s="4" t="s">
        <v>53</v>
      </c>
    </row>
    <row r="58" spans="2:12" x14ac:dyDescent="0.2">
      <c r="B58" s="28"/>
      <c r="C58" s="26"/>
      <c r="D58" s="4" t="s">
        <v>29</v>
      </c>
      <c r="E58" s="4" t="s">
        <v>235</v>
      </c>
      <c r="F58" s="4" t="s">
        <v>24</v>
      </c>
      <c r="G58" s="4" t="s">
        <v>263</v>
      </c>
      <c r="H58" s="8" t="s">
        <v>264</v>
      </c>
      <c r="I58" s="8" t="s">
        <v>74</v>
      </c>
      <c r="J58" s="8" t="s">
        <v>238</v>
      </c>
      <c r="K58" s="4" t="s">
        <v>65</v>
      </c>
      <c r="L58" s="4" t="s">
        <v>239</v>
      </c>
    </row>
    <row r="59" spans="2:12" x14ac:dyDescent="0.2">
      <c r="B59" s="28"/>
      <c r="C59" s="25" t="s">
        <v>186</v>
      </c>
      <c r="D59" s="4"/>
      <c r="E59" s="4" t="s">
        <v>265</v>
      </c>
      <c r="F59" s="4"/>
      <c r="G59" s="4" t="s">
        <v>266</v>
      </c>
      <c r="H59" s="8" t="s">
        <v>64</v>
      </c>
      <c r="I59" s="8" t="s">
        <v>267</v>
      </c>
      <c r="J59" s="8" t="s">
        <v>253</v>
      </c>
      <c r="K59" s="4"/>
      <c r="L59" s="4" t="s">
        <v>97</v>
      </c>
    </row>
    <row r="60" spans="2:12" x14ac:dyDescent="0.2">
      <c r="B60" s="28"/>
      <c r="C60" s="26"/>
      <c r="D60" s="4"/>
      <c r="E60" s="4" t="s">
        <v>213</v>
      </c>
      <c r="F60" s="4"/>
      <c r="G60" s="4" t="s">
        <v>78</v>
      </c>
      <c r="H60" s="8" t="s">
        <v>16</v>
      </c>
      <c r="I60" s="8" t="s">
        <v>213</v>
      </c>
      <c r="J60" s="8" t="s">
        <v>211</v>
      </c>
      <c r="K60" s="4"/>
      <c r="L60" s="4" t="s">
        <v>241</v>
      </c>
    </row>
    <row r="61" spans="2:12" x14ac:dyDescent="0.2">
      <c r="B61" s="28"/>
      <c r="C61" s="25" t="s">
        <v>229</v>
      </c>
      <c r="D61" s="4"/>
      <c r="E61" s="4" t="s">
        <v>268</v>
      </c>
      <c r="F61" s="4"/>
      <c r="G61" s="4" t="s">
        <v>269</v>
      </c>
      <c r="H61" s="8" t="s">
        <v>270</v>
      </c>
      <c r="I61" s="8" t="s">
        <v>271</v>
      </c>
      <c r="J61" s="8" t="s">
        <v>272</v>
      </c>
      <c r="K61" s="4"/>
      <c r="L61" s="4" t="s">
        <v>273</v>
      </c>
    </row>
    <row r="62" spans="2:12" x14ac:dyDescent="0.2">
      <c r="B62" s="28"/>
      <c r="C62" s="26"/>
      <c r="D62" s="4"/>
      <c r="E62" s="4" t="s">
        <v>163</v>
      </c>
      <c r="F62" s="4"/>
      <c r="G62" s="4" t="s">
        <v>274</v>
      </c>
      <c r="H62" s="8" t="s">
        <v>143</v>
      </c>
      <c r="I62" s="8" t="s">
        <v>275</v>
      </c>
      <c r="J62" s="8" t="s">
        <v>89</v>
      </c>
      <c r="K62" s="4"/>
      <c r="L62" s="4" t="s">
        <v>217</v>
      </c>
    </row>
    <row r="63" spans="2:12" x14ac:dyDescent="0.2">
      <c r="B63" s="28"/>
      <c r="C63" s="25" t="s">
        <v>134</v>
      </c>
      <c r="D63" s="4"/>
      <c r="E63" s="4" t="s">
        <v>276</v>
      </c>
      <c r="F63" s="4"/>
      <c r="G63" s="4" t="s">
        <v>277</v>
      </c>
      <c r="H63" s="8" t="s">
        <v>278</v>
      </c>
      <c r="I63" s="8" t="s">
        <v>279</v>
      </c>
      <c r="J63" s="8" t="s">
        <v>280</v>
      </c>
      <c r="K63" s="4"/>
      <c r="L63" s="4" t="s">
        <v>140</v>
      </c>
    </row>
    <row r="64" spans="2:12" x14ac:dyDescent="0.2">
      <c r="B64" s="28"/>
      <c r="C64" s="26"/>
      <c r="D64" s="4"/>
      <c r="E64" s="4" t="s">
        <v>251</v>
      </c>
      <c r="F64" s="4"/>
      <c r="G64" s="4" t="s">
        <v>20</v>
      </c>
      <c r="H64" s="8" t="s">
        <v>222</v>
      </c>
      <c r="I64" s="8" t="s">
        <v>218</v>
      </c>
      <c r="J64" s="8" t="s">
        <v>29</v>
      </c>
      <c r="K64" s="4"/>
      <c r="L64" s="4" t="s">
        <v>213</v>
      </c>
    </row>
    <row r="65" spans="2:12" x14ac:dyDescent="0.2">
      <c r="B65" s="28"/>
      <c r="C65" s="25" t="s">
        <v>149</v>
      </c>
      <c r="D65" s="4"/>
      <c r="E65" s="4" t="s">
        <v>281</v>
      </c>
      <c r="F65" s="4"/>
      <c r="G65" s="4" t="s">
        <v>112</v>
      </c>
      <c r="H65" s="8" t="s">
        <v>282</v>
      </c>
      <c r="I65" s="8" t="s">
        <v>283</v>
      </c>
      <c r="J65" s="8" t="s">
        <v>284</v>
      </c>
      <c r="K65" s="4"/>
      <c r="L65" s="4" t="s">
        <v>285</v>
      </c>
    </row>
    <row r="66" spans="2:12" x14ac:dyDescent="0.2">
      <c r="B66" s="28"/>
      <c r="C66" s="26"/>
      <c r="D66" s="4"/>
      <c r="E66" s="4" t="s">
        <v>210</v>
      </c>
      <c r="F66" s="4"/>
      <c r="G66" s="4" t="s">
        <v>286</v>
      </c>
      <c r="H66" s="8" t="s">
        <v>95</v>
      </c>
      <c r="I66" s="8" t="s">
        <v>287</v>
      </c>
      <c r="J66" s="8" t="s">
        <v>21</v>
      </c>
      <c r="K66" s="4"/>
      <c r="L66" s="4" t="s">
        <v>60</v>
      </c>
    </row>
    <row r="67" spans="2:12" x14ac:dyDescent="0.2">
      <c r="B67" s="28"/>
      <c r="C67" s="3" t="s">
        <v>14</v>
      </c>
      <c r="D67" s="4" t="s">
        <v>38</v>
      </c>
      <c r="E67" s="4" t="s">
        <v>150</v>
      </c>
      <c r="F67" s="4" t="s">
        <v>38</v>
      </c>
      <c r="G67" s="4" t="s">
        <v>150</v>
      </c>
      <c r="H67" s="8" t="s">
        <v>151</v>
      </c>
      <c r="I67" s="8" t="s">
        <v>151</v>
      </c>
      <c r="J67" s="8" t="s">
        <v>151</v>
      </c>
      <c r="K67" s="4" t="s">
        <v>66</v>
      </c>
      <c r="L67" s="4" t="s">
        <v>152</v>
      </c>
    </row>
    <row r="69" spans="2:12" hidden="1" x14ac:dyDescent="0.2">
      <c r="B69" s="27" t="s">
        <v>132</v>
      </c>
      <c r="C69" s="3"/>
      <c r="D69" s="29" t="s">
        <v>0</v>
      </c>
      <c r="E69" s="29"/>
      <c r="F69" s="29" t="s">
        <v>1</v>
      </c>
      <c r="G69" s="29"/>
      <c r="H69" s="8" t="s">
        <v>124</v>
      </c>
      <c r="I69" s="8" t="s">
        <v>125</v>
      </c>
      <c r="J69" s="8" t="s">
        <v>126</v>
      </c>
      <c r="K69" s="29" t="s">
        <v>2</v>
      </c>
      <c r="L69" s="29"/>
    </row>
    <row r="70" spans="2:12" hidden="1" x14ac:dyDescent="0.2">
      <c r="B70" s="28"/>
      <c r="C70" s="25" t="s">
        <v>5</v>
      </c>
      <c r="D70" s="4" t="s">
        <v>6</v>
      </c>
      <c r="E70" s="4" t="s">
        <v>101</v>
      </c>
      <c r="F70" s="4" t="s">
        <v>7</v>
      </c>
      <c r="G70" s="4" t="s">
        <v>102</v>
      </c>
      <c r="H70" s="8" t="s">
        <v>103</v>
      </c>
      <c r="I70" s="8" t="s">
        <v>104</v>
      </c>
      <c r="J70" s="8" t="s">
        <v>105</v>
      </c>
      <c r="K70" s="4" t="s">
        <v>9</v>
      </c>
      <c r="L70" s="4" t="s">
        <v>106</v>
      </c>
    </row>
    <row r="71" spans="2:12" hidden="1" x14ac:dyDescent="0.2">
      <c r="B71" s="28"/>
      <c r="C71" s="26"/>
      <c r="D71" s="4" t="s">
        <v>16</v>
      </c>
      <c r="E71" s="4" t="s">
        <v>30</v>
      </c>
      <c r="F71" s="4" t="s">
        <v>18</v>
      </c>
      <c r="G71" s="4" t="s">
        <v>107</v>
      </c>
      <c r="H71" s="8" t="s">
        <v>94</v>
      </c>
      <c r="I71" s="8" t="s">
        <v>51</v>
      </c>
      <c r="J71" s="8" t="s">
        <v>75</v>
      </c>
      <c r="K71" s="4" t="s">
        <v>22</v>
      </c>
      <c r="L71" s="4" t="s">
        <v>30</v>
      </c>
    </row>
    <row r="72" spans="2:12" hidden="1" x14ac:dyDescent="0.2">
      <c r="B72" s="28"/>
      <c r="C72" s="25" t="s">
        <v>11</v>
      </c>
      <c r="D72" s="4"/>
      <c r="E72" s="4" t="s">
        <v>108</v>
      </c>
      <c r="F72" s="4"/>
      <c r="G72" s="4" t="s">
        <v>109</v>
      </c>
      <c r="H72" s="8" t="s">
        <v>110</v>
      </c>
      <c r="I72" s="8" t="s">
        <v>54</v>
      </c>
      <c r="J72" s="8" t="s">
        <v>55</v>
      </c>
      <c r="K72" s="4"/>
      <c r="L72" s="4" t="s">
        <v>63</v>
      </c>
    </row>
    <row r="73" spans="2:12" hidden="1" x14ac:dyDescent="0.2">
      <c r="B73" s="28"/>
      <c r="C73" s="26"/>
      <c r="D73" s="4"/>
      <c r="E73" s="4" t="s">
        <v>26</v>
      </c>
      <c r="F73" s="4"/>
      <c r="G73" s="4" t="s">
        <v>27</v>
      </c>
      <c r="H73" s="8" t="s">
        <v>57</v>
      </c>
      <c r="I73" s="8" t="s">
        <v>28</v>
      </c>
      <c r="J73" s="8" t="s">
        <v>26</v>
      </c>
      <c r="K73" s="4"/>
      <c r="L73" s="4" t="s">
        <v>26</v>
      </c>
    </row>
    <row r="74" spans="2:12" hidden="1" x14ac:dyDescent="0.2">
      <c r="B74" s="28"/>
      <c r="C74" s="25" t="s">
        <v>111</v>
      </c>
      <c r="D74" s="4"/>
      <c r="E74" s="4" t="s">
        <v>112</v>
      </c>
      <c r="F74" s="4"/>
      <c r="G74" s="4" t="s">
        <v>105</v>
      </c>
      <c r="H74" s="8" t="s">
        <v>113</v>
      </c>
      <c r="I74" s="8" t="s">
        <v>114</v>
      </c>
      <c r="J74" s="8" t="s">
        <v>115</v>
      </c>
      <c r="K74" s="4"/>
      <c r="L74" s="4" t="s">
        <v>93</v>
      </c>
    </row>
    <row r="75" spans="2:12" hidden="1" x14ac:dyDescent="0.2">
      <c r="B75" s="28"/>
      <c r="C75" s="26"/>
      <c r="D75" s="4"/>
      <c r="E75" s="4" t="s">
        <v>116</v>
      </c>
      <c r="F75" s="4"/>
      <c r="G75" s="4" t="s">
        <v>117</v>
      </c>
      <c r="H75" s="8" t="s">
        <v>118</v>
      </c>
      <c r="I75" s="8" t="s">
        <v>119</v>
      </c>
      <c r="J75" s="8" t="s">
        <v>36</v>
      </c>
      <c r="K75" s="4"/>
      <c r="L75" s="4" t="s">
        <v>89</v>
      </c>
    </row>
    <row r="76" spans="2:12" hidden="1" x14ac:dyDescent="0.2">
      <c r="B76" s="28"/>
      <c r="C76" s="3" t="s">
        <v>14</v>
      </c>
      <c r="D76" s="4" t="s">
        <v>38</v>
      </c>
      <c r="E76" s="4" t="s">
        <v>120</v>
      </c>
      <c r="F76" s="4" t="s">
        <v>38</v>
      </c>
      <c r="G76" s="4" t="s">
        <v>120</v>
      </c>
      <c r="H76" s="8" t="s">
        <v>121</v>
      </c>
      <c r="I76" s="8" t="s">
        <v>121</v>
      </c>
      <c r="J76" s="8" t="s">
        <v>121</v>
      </c>
      <c r="K76" s="4" t="s">
        <v>40</v>
      </c>
      <c r="L76" s="4" t="s">
        <v>122</v>
      </c>
    </row>
    <row r="77" spans="2:12" hidden="1" x14ac:dyDescent="0.2"/>
    <row r="78" spans="2:12" hidden="1" x14ac:dyDescent="0.2">
      <c r="B78" s="27" t="s">
        <v>133</v>
      </c>
      <c r="C78" s="3"/>
      <c r="D78" s="29" t="s">
        <v>3</v>
      </c>
      <c r="E78" s="29"/>
      <c r="F78" s="29" t="s">
        <v>4</v>
      </c>
      <c r="G78" s="29"/>
      <c r="H78" s="8" t="s">
        <v>124</v>
      </c>
      <c r="I78" s="8" t="s">
        <v>125</v>
      </c>
      <c r="J78" s="8" t="s">
        <v>126</v>
      </c>
      <c r="K78" s="29" t="s">
        <v>127</v>
      </c>
      <c r="L78" s="29"/>
    </row>
    <row r="79" spans="2:12" hidden="1" x14ac:dyDescent="0.2">
      <c r="B79" s="28"/>
      <c r="C79" s="25" t="s">
        <v>5</v>
      </c>
      <c r="D79" s="4" t="s">
        <v>128</v>
      </c>
      <c r="E79" s="4" t="s">
        <v>231</v>
      </c>
      <c r="F79" s="4" t="s">
        <v>10</v>
      </c>
      <c r="G79" s="4" t="s">
        <v>232</v>
      </c>
      <c r="H79" s="8" t="s">
        <v>114</v>
      </c>
      <c r="I79" s="8" t="s">
        <v>233</v>
      </c>
      <c r="J79" s="8" t="s">
        <v>234</v>
      </c>
      <c r="K79" s="4" t="s">
        <v>64</v>
      </c>
      <c r="L79" s="4" t="s">
        <v>153</v>
      </c>
    </row>
    <row r="80" spans="2:12" hidden="1" x14ac:dyDescent="0.2">
      <c r="B80" s="28"/>
      <c r="C80" s="26"/>
      <c r="D80" s="4" t="s">
        <v>29</v>
      </c>
      <c r="E80" s="4" t="s">
        <v>235</v>
      </c>
      <c r="F80" s="4" t="s">
        <v>24</v>
      </c>
      <c r="G80" s="4" t="s">
        <v>236</v>
      </c>
      <c r="H80" s="8" t="s">
        <v>237</v>
      </c>
      <c r="I80" s="8" t="s">
        <v>74</v>
      </c>
      <c r="J80" s="8" t="s">
        <v>238</v>
      </c>
      <c r="K80" s="4" t="s">
        <v>65</v>
      </c>
      <c r="L80" s="4" t="s">
        <v>239</v>
      </c>
    </row>
    <row r="81" spans="2:12" hidden="1" x14ac:dyDescent="0.2">
      <c r="B81" s="28"/>
      <c r="C81" s="25" t="s">
        <v>186</v>
      </c>
      <c r="D81" s="4"/>
      <c r="E81" s="4" t="s">
        <v>9</v>
      </c>
      <c r="F81" s="4"/>
      <c r="G81" s="4" t="s">
        <v>147</v>
      </c>
      <c r="H81" s="8" t="s">
        <v>240</v>
      </c>
      <c r="I81" s="8" t="s">
        <v>188</v>
      </c>
      <c r="J81" s="8" t="s">
        <v>63</v>
      </c>
      <c r="K81" s="4"/>
      <c r="L81" s="4" t="s">
        <v>96</v>
      </c>
    </row>
    <row r="82" spans="2:12" hidden="1" x14ac:dyDescent="0.2">
      <c r="B82" s="28"/>
      <c r="C82" s="26"/>
      <c r="D82" s="4"/>
      <c r="E82" s="4" t="s">
        <v>16</v>
      </c>
      <c r="F82" s="4"/>
      <c r="G82" s="4" t="s">
        <v>27</v>
      </c>
      <c r="H82" s="8" t="s">
        <v>16</v>
      </c>
      <c r="I82" s="8" t="s">
        <v>16</v>
      </c>
      <c r="J82" s="8" t="s">
        <v>65</v>
      </c>
      <c r="K82" s="4"/>
      <c r="L82" s="4" t="s">
        <v>241</v>
      </c>
    </row>
    <row r="83" spans="2:12" hidden="1" x14ac:dyDescent="0.2">
      <c r="B83" s="28"/>
      <c r="C83" s="25" t="s">
        <v>230</v>
      </c>
      <c r="D83" s="4"/>
      <c r="E83" s="4" t="s">
        <v>242</v>
      </c>
      <c r="F83" s="4"/>
      <c r="G83" s="4" t="s">
        <v>243</v>
      </c>
      <c r="H83" s="8" t="s">
        <v>53</v>
      </c>
      <c r="I83" s="8" t="s">
        <v>244</v>
      </c>
      <c r="J83" s="8" t="s">
        <v>245</v>
      </c>
      <c r="K83" s="4"/>
      <c r="L83" s="4" t="s">
        <v>246</v>
      </c>
    </row>
    <row r="84" spans="2:12" hidden="1" x14ac:dyDescent="0.2">
      <c r="B84" s="28"/>
      <c r="C84" s="26"/>
      <c r="D84" s="4"/>
      <c r="E84" s="4" t="s">
        <v>21</v>
      </c>
      <c r="F84" s="4"/>
      <c r="G84" s="4" t="s">
        <v>247</v>
      </c>
      <c r="H84" s="8" t="s">
        <v>75</v>
      </c>
      <c r="I84" s="8" t="s">
        <v>17</v>
      </c>
      <c r="J84" s="8" t="s">
        <v>98</v>
      </c>
      <c r="K84" s="4"/>
      <c r="L84" s="4" t="s">
        <v>18</v>
      </c>
    </row>
    <row r="85" spans="2:12" hidden="1" x14ac:dyDescent="0.2">
      <c r="B85" s="28"/>
      <c r="C85" s="25" t="s">
        <v>134</v>
      </c>
      <c r="D85" s="4"/>
      <c r="E85" s="4" t="s">
        <v>248</v>
      </c>
      <c r="F85" s="4"/>
      <c r="G85" s="4" t="s">
        <v>142</v>
      </c>
      <c r="H85" s="8" t="s">
        <v>249</v>
      </c>
      <c r="I85" s="8" t="s">
        <v>250</v>
      </c>
      <c r="J85" s="8" t="s">
        <v>148</v>
      </c>
      <c r="K85" s="4"/>
      <c r="L85" s="4" t="s">
        <v>97</v>
      </c>
    </row>
    <row r="86" spans="2:12" hidden="1" x14ac:dyDescent="0.2">
      <c r="B86" s="28"/>
      <c r="C86" s="26"/>
      <c r="D86" s="4"/>
      <c r="E86" s="4" t="s">
        <v>251</v>
      </c>
      <c r="F86" s="4"/>
      <c r="G86" s="4" t="s">
        <v>252</v>
      </c>
      <c r="H86" s="8" t="s">
        <v>129</v>
      </c>
      <c r="I86" s="8" t="s">
        <v>218</v>
      </c>
      <c r="J86" s="8" t="s">
        <v>29</v>
      </c>
      <c r="K86" s="4"/>
      <c r="L86" s="4" t="s">
        <v>213</v>
      </c>
    </row>
    <row r="87" spans="2:12" hidden="1" x14ac:dyDescent="0.2">
      <c r="B87" s="28"/>
      <c r="C87" s="25" t="s">
        <v>141</v>
      </c>
      <c r="D87" s="4"/>
      <c r="E87" s="4" t="s">
        <v>253</v>
      </c>
      <c r="F87" s="4"/>
      <c r="G87" s="4" t="s">
        <v>254</v>
      </c>
      <c r="H87" s="8" t="s">
        <v>255</v>
      </c>
      <c r="I87" s="8" t="s">
        <v>115</v>
      </c>
      <c r="J87" s="8" t="s">
        <v>256</v>
      </c>
      <c r="K87" s="4"/>
      <c r="L87" s="4" t="s">
        <v>257</v>
      </c>
    </row>
    <row r="88" spans="2:12" hidden="1" x14ac:dyDescent="0.2">
      <c r="B88" s="28"/>
      <c r="C88" s="26"/>
      <c r="D88" s="4"/>
      <c r="E88" s="4" t="s">
        <v>258</v>
      </c>
      <c r="F88" s="4"/>
      <c r="G88" s="4" t="s">
        <v>259</v>
      </c>
      <c r="H88" s="8" t="s">
        <v>74</v>
      </c>
      <c r="I88" s="8" t="s">
        <v>51</v>
      </c>
      <c r="J88" s="8" t="s">
        <v>30</v>
      </c>
      <c r="K88" s="4"/>
      <c r="L88" s="4" t="s">
        <v>27</v>
      </c>
    </row>
    <row r="89" spans="2:12" hidden="1" x14ac:dyDescent="0.2">
      <c r="B89" s="28"/>
      <c r="C89" s="3" t="s">
        <v>14</v>
      </c>
      <c r="D89" s="4" t="s">
        <v>38</v>
      </c>
      <c r="E89" s="4" t="s">
        <v>144</v>
      </c>
      <c r="F89" s="4" t="s">
        <v>38</v>
      </c>
      <c r="G89" s="4" t="s">
        <v>144</v>
      </c>
      <c r="H89" s="8" t="s">
        <v>145</v>
      </c>
      <c r="I89" s="8" t="s">
        <v>145</v>
      </c>
      <c r="J89" s="8" t="s">
        <v>145</v>
      </c>
      <c r="K89" s="4" t="s">
        <v>66</v>
      </c>
      <c r="L89" s="4" t="s">
        <v>146</v>
      </c>
    </row>
    <row r="90" spans="2:12" hidden="1" x14ac:dyDescent="0.2"/>
  </sheetData>
  <mergeCells count="64">
    <mergeCell ref="C30:C31"/>
    <mergeCell ref="B34:B45"/>
    <mergeCell ref="D34:E34"/>
    <mergeCell ref="F34:G34"/>
    <mergeCell ref="K34:L34"/>
    <mergeCell ref="C35:C36"/>
    <mergeCell ref="C41:C42"/>
    <mergeCell ref="C43:C44"/>
    <mergeCell ref="C37:C38"/>
    <mergeCell ref="C39:C40"/>
    <mergeCell ref="D25:E25"/>
    <mergeCell ref="F25:G25"/>
    <mergeCell ref="K25:L25"/>
    <mergeCell ref="C26:C27"/>
    <mergeCell ref="C28:C29"/>
    <mergeCell ref="D2:E2"/>
    <mergeCell ref="F2:G2"/>
    <mergeCell ref="K2:L2"/>
    <mergeCell ref="D11:E11"/>
    <mergeCell ref="F11:G11"/>
    <mergeCell ref="K11:L11"/>
    <mergeCell ref="D56:E56"/>
    <mergeCell ref="F56:G56"/>
    <mergeCell ref="K56:L56"/>
    <mergeCell ref="D47:E47"/>
    <mergeCell ref="F47:G47"/>
    <mergeCell ref="K47:L47"/>
    <mergeCell ref="B78:B89"/>
    <mergeCell ref="D69:E69"/>
    <mergeCell ref="F69:G69"/>
    <mergeCell ref="K69:L69"/>
    <mergeCell ref="D78:E78"/>
    <mergeCell ref="F78:G78"/>
    <mergeCell ref="K78:L78"/>
    <mergeCell ref="C79:C80"/>
    <mergeCell ref="C85:C86"/>
    <mergeCell ref="C87:C88"/>
    <mergeCell ref="C70:C71"/>
    <mergeCell ref="C72:C73"/>
    <mergeCell ref="C74:C75"/>
    <mergeCell ref="C81:C82"/>
    <mergeCell ref="C83:C84"/>
    <mergeCell ref="B2:B9"/>
    <mergeCell ref="B11:B22"/>
    <mergeCell ref="B47:B54"/>
    <mergeCell ref="B56:B67"/>
    <mergeCell ref="B69:B76"/>
    <mergeCell ref="B25:B32"/>
    <mergeCell ref="C65:C66"/>
    <mergeCell ref="C3:C4"/>
    <mergeCell ref="C5:C6"/>
    <mergeCell ref="C7:C8"/>
    <mergeCell ref="C12:C13"/>
    <mergeCell ref="C18:C19"/>
    <mergeCell ref="C20:C21"/>
    <mergeCell ref="C48:C49"/>
    <mergeCell ref="C50:C51"/>
    <mergeCell ref="C52:C53"/>
    <mergeCell ref="C57:C58"/>
    <mergeCell ref="C63:C64"/>
    <mergeCell ref="C14:C15"/>
    <mergeCell ref="C16:C17"/>
    <mergeCell ref="C59:C60"/>
    <mergeCell ref="C61:C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5DE7-CAF9-4A3C-99EC-AE501B1448E2}">
  <dimension ref="A1:M47"/>
  <sheetViews>
    <sheetView zoomScale="85" zoomScaleNormal="85" workbookViewId="0">
      <selection activeCell="B8" sqref="B8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19" bestFit="1" customWidth="1"/>
  </cols>
  <sheetData>
    <row r="1" spans="1:13" x14ac:dyDescent="0.2">
      <c r="B1" t="s">
        <v>0</v>
      </c>
      <c r="C1" t="s">
        <v>1</v>
      </c>
      <c r="H1" t="s">
        <v>321</v>
      </c>
      <c r="I1" t="s">
        <v>322</v>
      </c>
      <c r="L1" t="s">
        <v>321</v>
      </c>
      <c r="M1" t="s">
        <v>322</v>
      </c>
    </row>
    <row r="2" spans="1:13" x14ac:dyDescent="0.2">
      <c r="A2" t="s">
        <v>5</v>
      </c>
      <c r="B2">
        <v>0.22600000000000001</v>
      </c>
      <c r="C2">
        <v>1.113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 x14ac:dyDescent="0.2">
      <c r="A3" t="s">
        <v>11</v>
      </c>
      <c r="B3">
        <v>-4.4999999999999998E-2</v>
      </c>
      <c r="C3">
        <v>-0.22700000000000001</v>
      </c>
      <c r="K3" t="s">
        <v>320</v>
      </c>
      <c r="L3">
        <v>0</v>
      </c>
      <c r="M3">
        <v>0</v>
      </c>
    </row>
    <row r="4" spans="1:13" x14ac:dyDescent="0.2">
      <c r="A4" t="s">
        <v>79</v>
      </c>
      <c r="B4">
        <v>0</v>
      </c>
      <c r="C4">
        <v>0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 x14ac:dyDescent="0.2">
      <c r="B5" t="s">
        <v>3</v>
      </c>
      <c r="C5" t="s">
        <v>4</v>
      </c>
      <c r="D5" t="s">
        <v>127</v>
      </c>
      <c r="K5" t="s">
        <v>320</v>
      </c>
      <c r="L5">
        <v>0</v>
      </c>
      <c r="M5">
        <v>0</v>
      </c>
    </row>
    <row r="6" spans="1:13" x14ac:dyDescent="0.2">
      <c r="A6" t="s">
        <v>5</v>
      </c>
      <c r="B6" s="6">
        <v>0.68400000000000005</v>
      </c>
      <c r="C6">
        <v>1.2390000000000001</v>
      </c>
      <c r="D6">
        <v>0</v>
      </c>
      <c r="H6" t="s">
        <v>321</v>
      </c>
      <c r="I6" t="s">
        <v>322</v>
      </c>
      <c r="L6" t="s">
        <v>321</v>
      </c>
      <c r="M6" t="s">
        <v>322</v>
      </c>
    </row>
    <row r="7" spans="1:13" x14ac:dyDescent="0.2">
      <c r="A7" t="s">
        <v>186</v>
      </c>
      <c r="B7">
        <v>-2.5999999999999999E-2</v>
      </c>
      <c r="C7">
        <v>-0.20799999999999999</v>
      </c>
      <c r="D7">
        <v>0</v>
      </c>
      <c r="G7" t="s">
        <v>186</v>
      </c>
      <c r="H7">
        <f>4.662178- 1.488808</f>
        <v>3.1733700000000002</v>
      </c>
      <c r="I7">
        <f>4.662178+1.488808</f>
        <v>6.1509859999999996</v>
      </c>
      <c r="K7" t="s">
        <v>319</v>
      </c>
      <c r="L7">
        <v>5.6759909999999998</v>
      </c>
      <c r="M7">
        <v>0.5556025</v>
      </c>
    </row>
    <row r="8" spans="1:13" x14ac:dyDescent="0.2">
      <c r="A8" t="s">
        <v>134</v>
      </c>
      <c r="B8">
        <v>-5.8000000000000003E-2</v>
      </c>
      <c r="C8">
        <v>0</v>
      </c>
      <c r="D8">
        <v>0</v>
      </c>
      <c r="K8" t="s">
        <v>320</v>
      </c>
      <c r="L8">
        <v>3.4433929999999999</v>
      </c>
      <c r="M8">
        <v>1.3375330000000001</v>
      </c>
    </row>
    <row r="9" spans="1:13" x14ac:dyDescent="0.2">
      <c r="A9" t="s">
        <v>229</v>
      </c>
      <c r="B9">
        <v>0</v>
      </c>
      <c r="C9">
        <v>0</v>
      </c>
      <c r="D9">
        <v>0.49399999999999999</v>
      </c>
      <c r="G9" t="s">
        <v>229</v>
      </c>
      <c r="H9">
        <f>0.5062086-0.1771589</f>
        <v>0.3290497</v>
      </c>
      <c r="I9">
        <f>0.5062086+0.1771589</f>
        <v>0.68336750000000002</v>
      </c>
      <c r="K9" t="s">
        <v>319</v>
      </c>
      <c r="L9">
        <v>0.55539000000000005</v>
      </c>
      <c r="M9">
        <v>0.15205959999999999</v>
      </c>
    </row>
    <row r="10" spans="1:13" x14ac:dyDescent="0.2">
      <c r="A10" t="s">
        <v>149</v>
      </c>
      <c r="B10">
        <v>0</v>
      </c>
      <c r="C10">
        <v>0</v>
      </c>
      <c r="D10">
        <v>-0.109</v>
      </c>
      <c r="K10" t="s">
        <v>320</v>
      </c>
      <c r="L10">
        <v>0.44526110000000002</v>
      </c>
      <c r="M10">
        <v>0.18690109999999999</v>
      </c>
    </row>
    <row r="15" spans="1:13" x14ac:dyDescent="0.2">
      <c r="B15" t="s">
        <v>0</v>
      </c>
    </row>
    <row r="16" spans="1:13" x14ac:dyDescent="0.2">
      <c r="A16" t="s">
        <v>316</v>
      </c>
      <c r="B16" t="s">
        <v>317</v>
      </c>
      <c r="C16" t="s">
        <v>366</v>
      </c>
    </row>
    <row r="17" spans="1:4" x14ac:dyDescent="0.2">
      <c r="A17">
        <f>L2+M2</f>
        <v>6.2315934999999998</v>
      </c>
      <c r="B17">
        <f>$B$2+$B$3*A17</f>
        <v>-5.4421707499999999E-2</v>
      </c>
      <c r="D17">
        <f>(B17-B18)/(A17-A18)</f>
        <v>-4.5000000000000012E-2</v>
      </c>
    </row>
    <row r="18" spans="1:4" x14ac:dyDescent="0.2">
      <c r="A18">
        <f>L2-M2</f>
        <v>5.1203884999999998</v>
      </c>
      <c r="B18">
        <f>$B$2+$B$3*A18</f>
        <v>-4.4174824999999862E-3</v>
      </c>
    </row>
    <row r="19" spans="1:4" x14ac:dyDescent="0.2">
      <c r="A19">
        <v>0</v>
      </c>
      <c r="B19">
        <f>$B$2+$B$3*A19</f>
        <v>0.22600000000000001</v>
      </c>
    </row>
    <row r="20" spans="1:4" x14ac:dyDescent="0.2">
      <c r="A20">
        <v>0</v>
      </c>
      <c r="C20">
        <v>0</v>
      </c>
    </row>
    <row r="22" spans="1:4" x14ac:dyDescent="0.2">
      <c r="B22" t="s">
        <v>1</v>
      </c>
    </row>
    <row r="23" spans="1:4" x14ac:dyDescent="0.2">
      <c r="A23" t="s">
        <v>316</v>
      </c>
      <c r="B23" t="s">
        <v>317</v>
      </c>
      <c r="C23" t="s">
        <v>318</v>
      </c>
    </row>
    <row r="24" spans="1:4" x14ac:dyDescent="0.2">
      <c r="A24">
        <f>L7+M7</f>
        <v>6.2315934999999998</v>
      </c>
      <c r="B24">
        <f>$C$2+$C$3*A24</f>
        <v>-0.30157172450000003</v>
      </c>
    </row>
    <row r="25" spans="1:4" x14ac:dyDescent="0.2">
      <c r="A25">
        <f>L7-M7</f>
        <v>5.1203884999999998</v>
      </c>
      <c r="B25">
        <f>$C$2+$C$3*A25</f>
        <v>-4.9328189499999953E-2</v>
      </c>
    </row>
    <row r="26" spans="1:4" x14ac:dyDescent="0.2">
      <c r="A26">
        <v>0</v>
      </c>
      <c r="C26">
        <v>0</v>
      </c>
    </row>
    <row r="27" spans="1:4" x14ac:dyDescent="0.2">
      <c r="A27">
        <v>0</v>
      </c>
      <c r="C27">
        <v>0</v>
      </c>
    </row>
    <row r="33" spans="1:4" x14ac:dyDescent="0.2">
      <c r="B33" t="s">
        <v>3</v>
      </c>
    </row>
    <row r="34" spans="1:4" x14ac:dyDescent="0.2">
      <c r="A34" t="s">
        <v>186</v>
      </c>
      <c r="B34" t="s">
        <v>317</v>
      </c>
      <c r="C34" t="s">
        <v>318</v>
      </c>
    </row>
    <row r="35" spans="1:4" x14ac:dyDescent="0.2">
      <c r="A35">
        <f>L7-M7</f>
        <v>5.1203884999999998</v>
      </c>
      <c r="B35">
        <f>B6+B7*A35+B8*A35</f>
        <v>0.25388736600000006</v>
      </c>
      <c r="D35">
        <f>(B35-B36)/(A35-A36)</f>
        <v>-8.4000000000000005E-2</v>
      </c>
    </row>
    <row r="36" spans="1:4" x14ac:dyDescent="0.2">
      <c r="A36">
        <f>L7+M7</f>
        <v>6.2315934999999998</v>
      </c>
      <c r="B36">
        <f>B6+B7*A36+A36*B8</f>
        <v>0.16054614600000006</v>
      </c>
    </row>
    <row r="37" spans="1:4" x14ac:dyDescent="0.2">
      <c r="A37">
        <v>0</v>
      </c>
      <c r="B37">
        <f>B6+B7*A37+A37*B8</f>
        <v>0.68400000000000005</v>
      </c>
    </row>
    <row r="38" spans="1:4" x14ac:dyDescent="0.2">
      <c r="A38">
        <f>L8-M8</f>
        <v>2.1058599999999998</v>
      </c>
      <c r="C38">
        <f>B7*(A38)</f>
        <v>-5.4752359999999993E-2</v>
      </c>
    </row>
    <row r="39" spans="1:4" x14ac:dyDescent="0.2">
      <c r="A39">
        <f>L8+M8</f>
        <v>4.780926</v>
      </c>
      <c r="C39">
        <f>B7*A39</f>
        <v>-0.124304076</v>
      </c>
    </row>
    <row r="40" spans="1:4" x14ac:dyDescent="0.2">
      <c r="A40">
        <v>0</v>
      </c>
      <c r="C40">
        <f>B7*A40</f>
        <v>0</v>
      </c>
    </row>
    <row r="41" spans="1:4" x14ac:dyDescent="0.2">
      <c r="B41" t="s">
        <v>127</v>
      </c>
    </row>
    <row r="42" spans="1:4" x14ac:dyDescent="0.2">
      <c r="A42" t="s">
        <v>229</v>
      </c>
      <c r="B42" t="s">
        <v>317</v>
      </c>
      <c r="C42" t="s">
        <v>318</v>
      </c>
    </row>
    <row r="43" spans="1:4" x14ac:dyDescent="0.2">
      <c r="A43">
        <f>L9-M9</f>
        <v>0.40333040000000009</v>
      </c>
      <c r="B43">
        <f>D9*A43+D10*A43</f>
        <v>0.15528220400000003</v>
      </c>
    </row>
    <row r="44" spans="1:4" x14ac:dyDescent="0.2">
      <c r="A44">
        <f>L9+M9</f>
        <v>0.70744960000000001</v>
      </c>
      <c r="B44">
        <f>D9*A44+D10*A44</f>
        <v>0.272368096</v>
      </c>
    </row>
    <row r="45" spans="1:4" x14ac:dyDescent="0.2">
      <c r="A45">
        <f>L10-M10</f>
        <v>0.25836000000000003</v>
      </c>
      <c r="C45">
        <f>D9*A45</f>
        <v>0.12762984000000002</v>
      </c>
    </row>
    <row r="46" spans="1:4" x14ac:dyDescent="0.2">
      <c r="A46">
        <f>L10+M10</f>
        <v>0.63216220000000001</v>
      </c>
      <c r="C46">
        <f>D9*A46</f>
        <v>0.31228812680000001</v>
      </c>
    </row>
    <row r="47" spans="1:4" x14ac:dyDescent="0.2">
      <c r="A47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0A11-14E0-5242-BAF0-2DDD4FA2A627}">
  <dimension ref="B2:P41"/>
  <sheetViews>
    <sheetView tabSelected="1" workbookViewId="0">
      <selection activeCell="N35" sqref="N35"/>
    </sheetView>
  </sheetViews>
  <sheetFormatPr baseColWidth="10" defaultColWidth="10.83203125" defaultRowHeight="16" x14ac:dyDescent="0.2"/>
  <cols>
    <col min="1" max="1" width="10.83203125" style="1"/>
    <col min="2" max="2" width="30.5" style="1" customWidth="1"/>
    <col min="3" max="3" width="14" style="1" customWidth="1"/>
    <col min="4" max="4" width="14.83203125" style="1" customWidth="1"/>
    <col min="5" max="7" width="10.83203125" style="1"/>
    <col min="8" max="8" width="30.5" style="1" customWidth="1"/>
    <col min="9" max="9" width="14" style="1" customWidth="1"/>
    <col min="10" max="10" width="14.83203125" style="1" customWidth="1"/>
    <col min="11" max="13" width="10.83203125" style="1"/>
    <col min="14" max="14" width="18.1640625" style="1" bestFit="1" customWidth="1"/>
    <col min="15" max="15" width="20.5" style="1" customWidth="1"/>
    <col min="16" max="16" width="21.5" style="1" customWidth="1"/>
    <col min="17" max="16384" width="10.83203125" style="1"/>
  </cols>
  <sheetData>
    <row r="2" spans="2:16" x14ac:dyDescent="0.2">
      <c r="B2" s="22"/>
      <c r="C2" s="23" t="s">
        <v>340</v>
      </c>
      <c r="D2" s="23" t="s">
        <v>341</v>
      </c>
      <c r="E2" s="23" t="s">
        <v>342</v>
      </c>
      <c r="F2" s="23" t="s">
        <v>343</v>
      </c>
      <c r="H2" s="22"/>
      <c r="I2" s="23" t="s">
        <v>340</v>
      </c>
      <c r="J2" s="23" t="s">
        <v>341</v>
      </c>
      <c r="K2" s="23" t="s">
        <v>342</v>
      </c>
      <c r="L2" s="23" t="s">
        <v>343</v>
      </c>
      <c r="N2" s="22"/>
      <c r="O2" s="23" t="s">
        <v>340</v>
      </c>
      <c r="P2" s="23" t="s">
        <v>341</v>
      </c>
    </row>
    <row r="3" spans="2:16" ht="32" customHeight="1" x14ac:dyDescent="0.2">
      <c r="B3" s="16" t="s">
        <v>345</v>
      </c>
      <c r="C3" s="38" t="s">
        <v>346</v>
      </c>
      <c r="D3" s="38"/>
      <c r="E3" s="38" t="s">
        <v>348</v>
      </c>
      <c r="F3" s="38"/>
      <c r="H3" s="16" t="s">
        <v>345</v>
      </c>
      <c r="I3" s="38" t="s">
        <v>349</v>
      </c>
      <c r="J3" s="38"/>
      <c r="K3" s="38" t="s">
        <v>350</v>
      </c>
      <c r="L3" s="38"/>
      <c r="N3" s="16" t="s">
        <v>345</v>
      </c>
      <c r="O3" s="38" t="s">
        <v>352</v>
      </c>
      <c r="P3" s="38"/>
    </row>
    <row r="4" spans="2:16" ht="16" customHeight="1" x14ac:dyDescent="0.2">
      <c r="B4" s="35" t="s">
        <v>334</v>
      </c>
      <c r="C4" s="14" t="s">
        <v>6</v>
      </c>
      <c r="D4" s="14" t="s">
        <v>67</v>
      </c>
      <c r="E4" s="14" t="s">
        <v>7</v>
      </c>
      <c r="F4" s="14" t="s">
        <v>68</v>
      </c>
      <c r="H4" s="35" t="s">
        <v>334</v>
      </c>
      <c r="I4" s="14" t="s">
        <v>128</v>
      </c>
      <c r="J4" s="14" t="s">
        <v>205</v>
      </c>
      <c r="K4" s="14" t="s">
        <v>10</v>
      </c>
      <c r="L4" s="14" t="s">
        <v>260</v>
      </c>
      <c r="N4" s="35" t="s">
        <v>334</v>
      </c>
      <c r="O4" s="14" t="s">
        <v>64</v>
      </c>
      <c r="P4" s="14" t="s">
        <v>53</v>
      </c>
    </row>
    <row r="5" spans="2:16" x14ac:dyDescent="0.2">
      <c r="B5" s="35"/>
      <c r="C5" s="14" t="s">
        <v>16</v>
      </c>
      <c r="D5" s="14" t="s">
        <v>30</v>
      </c>
      <c r="E5" s="14" t="s">
        <v>18</v>
      </c>
      <c r="F5" s="14" t="s">
        <v>73</v>
      </c>
      <c r="H5" s="35"/>
      <c r="I5" s="14" t="s">
        <v>29</v>
      </c>
      <c r="J5" s="14" t="s">
        <v>235</v>
      </c>
      <c r="K5" s="14" t="s">
        <v>24</v>
      </c>
      <c r="L5" s="14" t="s">
        <v>263</v>
      </c>
      <c r="N5" s="35"/>
      <c r="O5" s="14" t="s">
        <v>65</v>
      </c>
      <c r="P5" s="14" t="s">
        <v>239</v>
      </c>
    </row>
    <row r="6" spans="2:16" ht="16" customHeight="1" x14ac:dyDescent="0.2">
      <c r="B6" s="35" t="s">
        <v>364</v>
      </c>
      <c r="C6" s="14"/>
      <c r="D6" s="14" t="s">
        <v>76</v>
      </c>
      <c r="E6" s="14"/>
      <c r="F6" s="14" t="s">
        <v>77</v>
      </c>
      <c r="H6" s="35" t="s">
        <v>360</v>
      </c>
      <c r="J6" s="14" t="s">
        <v>265</v>
      </c>
      <c r="K6" s="14"/>
      <c r="L6" s="14" t="s">
        <v>266</v>
      </c>
      <c r="N6" s="35" t="s">
        <v>360</v>
      </c>
      <c r="P6" s="14" t="s">
        <v>97</v>
      </c>
    </row>
    <row r="7" spans="2:16" x14ac:dyDescent="0.2">
      <c r="B7" s="35"/>
      <c r="C7" s="14"/>
      <c r="D7" s="14" t="s">
        <v>26</v>
      </c>
      <c r="E7" s="14"/>
      <c r="F7" s="14" t="s">
        <v>78</v>
      </c>
      <c r="H7" s="35"/>
      <c r="J7" s="14" t="s">
        <v>213</v>
      </c>
      <c r="K7" s="14"/>
      <c r="L7" s="14" t="s">
        <v>78</v>
      </c>
      <c r="N7" s="35"/>
      <c r="P7" s="14" t="s">
        <v>241</v>
      </c>
    </row>
    <row r="8" spans="2:16" ht="16" customHeight="1" x14ac:dyDescent="0.2">
      <c r="B8" s="35" t="s">
        <v>365</v>
      </c>
      <c r="C8" s="14"/>
      <c r="D8" s="14" t="s">
        <v>80</v>
      </c>
      <c r="E8" s="14"/>
      <c r="F8" s="14" t="s">
        <v>81</v>
      </c>
      <c r="H8" s="35" t="s">
        <v>361</v>
      </c>
      <c r="J8" s="14" t="s">
        <v>268</v>
      </c>
      <c r="K8" s="14"/>
      <c r="L8" s="14" t="s">
        <v>269</v>
      </c>
      <c r="N8" s="35" t="s">
        <v>361</v>
      </c>
      <c r="P8" s="14" t="s">
        <v>273</v>
      </c>
    </row>
    <row r="9" spans="2:16" x14ac:dyDescent="0.2">
      <c r="B9" s="36"/>
      <c r="C9" s="17"/>
      <c r="D9" s="17" t="s">
        <v>85</v>
      </c>
      <c r="E9" s="17"/>
      <c r="F9" s="17" t="s">
        <v>86</v>
      </c>
      <c r="H9" s="35"/>
      <c r="J9" s="14" t="s">
        <v>163</v>
      </c>
      <c r="K9" s="14"/>
      <c r="L9" s="14" t="s">
        <v>274</v>
      </c>
      <c r="N9" s="35"/>
      <c r="P9" s="14" t="s">
        <v>217</v>
      </c>
    </row>
    <row r="10" spans="2:16" ht="16" customHeight="1" x14ac:dyDescent="0.2">
      <c r="B10" s="15" t="s">
        <v>335</v>
      </c>
      <c r="C10" s="14" t="s">
        <v>336</v>
      </c>
      <c r="D10" s="14" t="s">
        <v>336</v>
      </c>
      <c r="E10" s="14" t="s">
        <v>336</v>
      </c>
      <c r="F10" s="14" t="s">
        <v>336</v>
      </c>
      <c r="H10" s="35" t="s">
        <v>362</v>
      </c>
      <c r="I10" s="14"/>
      <c r="J10" s="14" t="s">
        <v>276</v>
      </c>
      <c r="K10" s="14"/>
      <c r="L10" s="14" t="s">
        <v>277</v>
      </c>
      <c r="N10" s="35" t="s">
        <v>362</v>
      </c>
      <c r="O10" s="14"/>
      <c r="P10" s="14" t="s">
        <v>140</v>
      </c>
    </row>
    <row r="11" spans="2:16" x14ac:dyDescent="0.2">
      <c r="B11" s="15" t="s">
        <v>337</v>
      </c>
      <c r="C11" s="14" t="s">
        <v>336</v>
      </c>
      <c r="D11" s="14" t="s">
        <v>336</v>
      </c>
      <c r="E11" s="14" t="s">
        <v>336</v>
      </c>
      <c r="F11" s="14" t="s">
        <v>336</v>
      </c>
      <c r="H11" s="35"/>
      <c r="I11" s="14"/>
      <c r="J11" s="14" t="s">
        <v>251</v>
      </c>
      <c r="K11" s="14"/>
      <c r="L11" s="14" t="s">
        <v>20</v>
      </c>
      <c r="N11" s="35"/>
      <c r="O11" s="14"/>
      <c r="P11" s="14" t="s">
        <v>213</v>
      </c>
    </row>
    <row r="12" spans="2:16" ht="16" customHeight="1" x14ac:dyDescent="0.2">
      <c r="B12" s="15" t="s">
        <v>338</v>
      </c>
      <c r="C12" s="14" t="s">
        <v>336</v>
      </c>
      <c r="D12" s="14" t="s">
        <v>336</v>
      </c>
      <c r="E12" s="14" t="s">
        <v>336</v>
      </c>
      <c r="F12" s="14" t="s">
        <v>336</v>
      </c>
      <c r="H12" s="35" t="s">
        <v>363</v>
      </c>
      <c r="I12" s="14"/>
      <c r="J12" s="14" t="s">
        <v>281</v>
      </c>
      <c r="K12" s="14"/>
      <c r="L12" s="14" t="s">
        <v>112</v>
      </c>
      <c r="N12" s="35" t="s">
        <v>363</v>
      </c>
      <c r="O12" s="14"/>
      <c r="P12" s="14" t="s">
        <v>285</v>
      </c>
    </row>
    <row r="13" spans="2:16" x14ac:dyDescent="0.2">
      <c r="B13" s="21" t="s">
        <v>339</v>
      </c>
      <c r="C13" s="17" t="s">
        <v>344</v>
      </c>
      <c r="D13" s="17" t="s">
        <v>347</v>
      </c>
      <c r="E13" s="17" t="s">
        <v>344</v>
      </c>
      <c r="F13" s="17" t="s">
        <v>347</v>
      </c>
      <c r="H13" s="36"/>
      <c r="I13" s="17"/>
      <c r="J13" s="17" t="s">
        <v>210</v>
      </c>
      <c r="K13" s="17"/>
      <c r="L13" s="17" t="s">
        <v>286</v>
      </c>
      <c r="N13" s="36"/>
      <c r="O13" s="17"/>
      <c r="P13" s="17" t="s">
        <v>60</v>
      </c>
    </row>
    <row r="14" spans="2:16" ht="16" customHeight="1" x14ac:dyDescent="0.2">
      <c r="H14" s="15" t="s">
        <v>335</v>
      </c>
      <c r="I14" s="14" t="s">
        <v>336</v>
      </c>
      <c r="J14" s="14" t="s">
        <v>336</v>
      </c>
      <c r="K14" s="14" t="s">
        <v>336</v>
      </c>
      <c r="L14" s="14" t="s">
        <v>336</v>
      </c>
      <c r="N14" s="15" t="s">
        <v>335</v>
      </c>
      <c r="O14" s="14" t="s">
        <v>336</v>
      </c>
      <c r="P14" s="14" t="s">
        <v>336</v>
      </c>
    </row>
    <row r="15" spans="2:16" x14ac:dyDescent="0.2">
      <c r="H15" s="15" t="s">
        <v>337</v>
      </c>
      <c r="I15" s="14" t="s">
        <v>336</v>
      </c>
      <c r="J15" s="14" t="s">
        <v>336</v>
      </c>
      <c r="K15" s="14" t="s">
        <v>336</v>
      </c>
      <c r="L15" s="14" t="s">
        <v>336</v>
      </c>
      <c r="N15" s="15" t="s">
        <v>337</v>
      </c>
      <c r="O15" s="14" t="s">
        <v>336</v>
      </c>
      <c r="P15" s="14" t="s">
        <v>336</v>
      </c>
    </row>
    <row r="16" spans="2:16" x14ac:dyDescent="0.2">
      <c r="H16" s="15" t="s">
        <v>338</v>
      </c>
      <c r="I16" s="14" t="s">
        <v>336</v>
      </c>
      <c r="J16" s="14" t="s">
        <v>336</v>
      </c>
      <c r="K16" s="14" t="s">
        <v>336</v>
      </c>
      <c r="L16" s="14" t="s">
        <v>336</v>
      </c>
      <c r="N16" s="15" t="s">
        <v>338</v>
      </c>
      <c r="O16" s="14" t="s">
        <v>336</v>
      </c>
      <c r="P16" s="14" t="s">
        <v>336</v>
      </c>
    </row>
    <row r="17" spans="2:16" ht="16" customHeight="1" x14ac:dyDescent="0.2">
      <c r="C17" s="24"/>
      <c r="H17" s="21" t="s">
        <v>339</v>
      </c>
      <c r="I17" s="17" t="s">
        <v>344</v>
      </c>
      <c r="J17" s="17" t="s">
        <v>351</v>
      </c>
      <c r="K17" s="17" t="s">
        <v>344</v>
      </c>
      <c r="L17" s="17" t="s">
        <v>351</v>
      </c>
      <c r="N17" s="21" t="s">
        <v>339</v>
      </c>
      <c r="O17" s="17" t="s">
        <v>353</v>
      </c>
      <c r="P17" s="17" t="s">
        <v>354</v>
      </c>
    </row>
    <row r="18" spans="2:16" x14ac:dyDescent="0.2">
      <c r="C18" s="24"/>
    </row>
    <row r="19" spans="2:16" ht="16" customHeight="1" x14ac:dyDescent="0.2">
      <c r="C19" s="24"/>
    </row>
    <row r="20" spans="2:16" x14ac:dyDescent="0.2">
      <c r="C20" s="24"/>
    </row>
    <row r="21" spans="2:16" ht="16" customHeight="1" x14ac:dyDescent="0.2">
      <c r="C21" s="24"/>
    </row>
    <row r="22" spans="2:16" ht="16" customHeight="1" x14ac:dyDescent="0.2">
      <c r="C22" s="24"/>
    </row>
    <row r="23" spans="2:16" ht="16" customHeight="1" x14ac:dyDescent="0.2"/>
    <row r="24" spans="2:16" ht="16" customHeight="1" x14ac:dyDescent="0.2">
      <c r="B24" s="37" t="s">
        <v>324</v>
      </c>
      <c r="C24" s="37" t="s">
        <v>325</v>
      </c>
      <c r="D24" s="37"/>
      <c r="E24" s="37"/>
      <c r="F24" s="37" t="s">
        <v>326</v>
      </c>
      <c r="G24" s="37" t="s">
        <v>327</v>
      </c>
    </row>
    <row r="25" spans="2:16" ht="16" customHeight="1" x14ac:dyDescent="0.2">
      <c r="B25" s="32"/>
      <c r="C25" s="20" t="s">
        <v>328</v>
      </c>
      <c r="D25" s="20" t="s">
        <v>329</v>
      </c>
      <c r="E25" s="20" t="s">
        <v>330</v>
      </c>
      <c r="F25" s="34"/>
      <c r="G25" s="34"/>
    </row>
    <row r="26" spans="2:16" x14ac:dyDescent="0.2">
      <c r="B26" s="31" t="s">
        <v>331</v>
      </c>
      <c r="C26" s="18" t="str">
        <f>"86.809"</f>
        <v>86.809</v>
      </c>
      <c r="D26" s="18" t="str">
        <f>"84.233"</f>
        <v>84.233</v>
      </c>
      <c r="E26" s="18" t="str">
        <f>"89.272"</f>
        <v>89.272</v>
      </c>
      <c r="F26" s="32" t="str">
        <f>"0.000"</f>
        <v>0.000</v>
      </c>
      <c r="G26" s="32" t="str">
        <f>"2702.000"</f>
        <v>2702.000</v>
      </c>
    </row>
    <row r="27" spans="2:16" ht="16" customHeight="1" x14ac:dyDescent="0.2">
      <c r="B27" s="31"/>
      <c r="C27" s="18" t="str">
        <f>"(113.981)"</f>
        <v>(113.981)</v>
      </c>
      <c r="D27" s="18" t="str">
        <f>"(89.347)"</f>
        <v>(89.347)</v>
      </c>
      <c r="E27" s="18" t="str">
        <f>"(133.323)"</f>
        <v>(133.323)</v>
      </c>
      <c r="F27" s="32"/>
      <c r="G27" s="32"/>
    </row>
    <row r="28" spans="2:16" x14ac:dyDescent="0.2">
      <c r="B28" s="31" t="s">
        <v>332</v>
      </c>
      <c r="C28" s="18" t="str">
        <f>"1.293"</f>
        <v>1.293</v>
      </c>
      <c r="D28" s="18" t="str">
        <f>"1.209"</f>
        <v>1.209</v>
      </c>
      <c r="E28" s="18" t="str">
        <f>"1.372"</f>
        <v>1.372</v>
      </c>
      <c r="F28" s="32" t="str">
        <f>"0.000"</f>
        <v>0.000</v>
      </c>
      <c r="G28" s="32" t="str">
        <f>"8.000"</f>
        <v>8.000</v>
      </c>
    </row>
    <row r="29" spans="2:16" x14ac:dyDescent="0.2">
      <c r="B29" s="31"/>
      <c r="C29" s="18" t="str">
        <f>"(1.166)"</f>
        <v>(1.166)</v>
      </c>
      <c r="D29" s="18" t="str">
        <f>"(1.133)"</f>
        <v>(1.133)</v>
      </c>
      <c r="E29" s="18" t="str">
        <f>"(1.192)"</f>
        <v>(1.192)</v>
      </c>
      <c r="F29" s="32"/>
      <c r="G29" s="32"/>
    </row>
    <row r="30" spans="2:16" ht="16" customHeight="1" x14ac:dyDescent="0.2">
      <c r="B30" s="31" t="s">
        <v>355</v>
      </c>
      <c r="C30" s="18" t="str">
        <f>"0.420"</f>
        <v>0.420</v>
      </c>
      <c r="D30" s="18" t="str">
        <f>"0.432"</f>
        <v>0.432</v>
      </c>
      <c r="E30" s="18" t="str">
        <f>"0.397"</f>
        <v>0.397</v>
      </c>
      <c r="F30" s="32" t="str">
        <f>"-0.048"</f>
        <v>-0.048</v>
      </c>
      <c r="G30" s="32" t="str">
        <f>"0.991"</f>
        <v>0.991</v>
      </c>
    </row>
    <row r="31" spans="2:16" x14ac:dyDescent="0.2">
      <c r="B31" s="31"/>
      <c r="C31" s="18" t="str">
        <f>"(0.181)"</f>
        <v>(0.181)</v>
      </c>
      <c r="D31" s="18" t="str">
        <f>"(0.175)"</f>
        <v>(0.175)</v>
      </c>
      <c r="E31" s="18" t="str">
        <f>"(0.188)"</f>
        <v>(0.188)</v>
      </c>
      <c r="F31" s="32"/>
      <c r="G31" s="32"/>
    </row>
    <row r="32" spans="2:16" ht="16" customHeight="1" x14ac:dyDescent="0.2">
      <c r="B32" s="31" t="s">
        <v>333</v>
      </c>
      <c r="C32" s="18" t="str">
        <f>"0.489"</f>
        <v>0.489</v>
      </c>
      <c r="D32" s="18" t="str">
        <f>"0.436"</f>
        <v>0.436</v>
      </c>
      <c r="E32" s="18" t="str">
        <f>"0.536"</f>
        <v>0.536</v>
      </c>
      <c r="F32" s="32" t="str">
        <f>"-3.000"</f>
        <v>-3.000</v>
      </c>
      <c r="G32" s="32" t="str">
        <f>"14.000"</f>
        <v>14.000</v>
      </c>
    </row>
    <row r="33" spans="2:7" x14ac:dyDescent="0.2">
      <c r="B33" s="31"/>
      <c r="C33" s="18" t="str">
        <f>"(1.096)"</f>
        <v>(1.096)</v>
      </c>
      <c r="D33" s="18" t="str">
        <f>"(1.041)"</f>
        <v>(1.041)</v>
      </c>
      <c r="E33" s="18" t="str">
        <f>"(1.140)"</f>
        <v>(1.140)</v>
      </c>
      <c r="F33" s="32"/>
      <c r="G33" s="32"/>
    </row>
    <row r="34" spans="2:7" ht="16" customHeight="1" x14ac:dyDescent="0.2">
      <c r="B34" s="31" t="s">
        <v>357</v>
      </c>
      <c r="C34" s="18" t="str">
        <f>"2.774"</f>
        <v>2.774</v>
      </c>
      <c r="D34" s="18" t="str">
        <f>"5.676"</f>
        <v>5.676</v>
      </c>
      <c r="E34" s="18" t="str">
        <f>"0.000"</f>
        <v>0.000</v>
      </c>
      <c r="F34" s="32" t="str">
        <f>"0.000"</f>
        <v>0.000</v>
      </c>
      <c r="G34" s="32" t="str">
        <f>"6.977"</f>
        <v>6.977</v>
      </c>
    </row>
    <row r="35" spans="2:7" x14ac:dyDescent="0.2">
      <c r="B35" s="31"/>
      <c r="C35" s="18" t="str">
        <f>"(2.864)"</f>
        <v>(2.864)</v>
      </c>
      <c r="D35" s="18" t="str">
        <f>"(0.556)"</f>
        <v>(0.556)</v>
      </c>
      <c r="E35" s="18" t="str">
        <f>"(0.000)"</f>
        <v>(0.000)</v>
      </c>
      <c r="F35" s="32"/>
      <c r="G35" s="32"/>
    </row>
    <row r="36" spans="2:7" x14ac:dyDescent="0.2">
      <c r="B36" s="31" t="s">
        <v>359</v>
      </c>
      <c r="C36" s="18" t="str">
        <f>"0.271"</f>
        <v>0.271</v>
      </c>
      <c r="D36" s="18" t="str">
        <f>"0.555"</f>
        <v>0.555</v>
      </c>
      <c r="E36" s="18" t="str">
        <f>"0.000"</f>
        <v>0.000</v>
      </c>
      <c r="F36" s="32" t="str">
        <f>"0.000"</f>
        <v>0.000</v>
      </c>
      <c r="G36" s="32" t="str">
        <f>"0.891"</f>
        <v>0.891</v>
      </c>
    </row>
    <row r="37" spans="2:7" x14ac:dyDescent="0.2">
      <c r="B37" s="31"/>
      <c r="C37" s="18" t="str">
        <f>"(0.297)"</f>
        <v>(0.297)</v>
      </c>
      <c r="D37" s="18" t="str">
        <f>"(0.152)"</f>
        <v>(0.152)</v>
      </c>
      <c r="E37" s="18" t="str">
        <f>"(0.000)"</f>
        <v>(0.000)</v>
      </c>
      <c r="F37" s="32"/>
      <c r="G37" s="32"/>
    </row>
    <row r="38" spans="2:7" x14ac:dyDescent="0.2">
      <c r="B38" s="31" t="s">
        <v>358</v>
      </c>
      <c r="C38" s="18" t="str">
        <f>"4.662"</f>
        <v>4.662</v>
      </c>
      <c r="D38" s="18" t="str">
        <f>"5.676"</f>
        <v>5.676</v>
      </c>
      <c r="E38" s="18" t="str">
        <f>"3.443"</f>
        <v>3.443</v>
      </c>
      <c r="F38" s="32" t="str">
        <f>"0.000"</f>
        <v>0.000</v>
      </c>
      <c r="G38" s="32" t="str">
        <f>"7.912"</f>
        <v>7.912</v>
      </c>
    </row>
    <row r="39" spans="2:7" x14ac:dyDescent="0.2">
      <c r="B39" s="31"/>
      <c r="C39" s="18" t="str">
        <f>"(1.489)"</f>
        <v>(1.489)</v>
      </c>
      <c r="D39" s="18" t="str">
        <f>"(0.556)"</f>
        <v>(0.556)</v>
      </c>
      <c r="E39" s="18" t="str">
        <f>"(1.338)"</f>
        <v>(1.338)</v>
      </c>
      <c r="F39" s="32"/>
      <c r="G39" s="32"/>
    </row>
    <row r="40" spans="2:7" x14ac:dyDescent="0.2">
      <c r="B40" s="31" t="s">
        <v>356</v>
      </c>
      <c r="C40" s="18" t="str">
        <f>"0.506"</f>
        <v>0.506</v>
      </c>
      <c r="D40" s="18" t="str">
        <f>"0.555"</f>
        <v>0.555</v>
      </c>
      <c r="E40" s="18" t="str">
        <f>"0.445"</f>
        <v>0.445</v>
      </c>
      <c r="F40" s="32" t="str">
        <f>"-0.090"</f>
        <v>-0.090</v>
      </c>
      <c r="G40" s="32" t="str">
        <f>"0.911"</f>
        <v>0.911</v>
      </c>
    </row>
    <row r="41" spans="2:7" x14ac:dyDescent="0.2">
      <c r="B41" s="33"/>
      <c r="C41" s="19" t="str">
        <f>"(0.177)"</f>
        <v>(0.177)</v>
      </c>
      <c r="D41" s="19" t="str">
        <f>"(0.152)"</f>
        <v>(0.152)</v>
      </c>
      <c r="E41" s="19" t="str">
        <f>"(0.187)"</f>
        <v>(0.187)</v>
      </c>
      <c r="F41" s="34"/>
      <c r="G41" s="34"/>
    </row>
  </sheetData>
  <mergeCells count="46">
    <mergeCell ref="O3:P3"/>
    <mergeCell ref="B6:B7"/>
    <mergeCell ref="B8:B9"/>
    <mergeCell ref="B4:B5"/>
    <mergeCell ref="C3:D3"/>
    <mergeCell ref="E3:F3"/>
    <mergeCell ref="I3:J3"/>
    <mergeCell ref="K3:L3"/>
    <mergeCell ref="H4:H5"/>
    <mergeCell ref="N4:N5"/>
    <mergeCell ref="N6:N7"/>
    <mergeCell ref="N8:N9"/>
    <mergeCell ref="H6:H7"/>
    <mergeCell ref="H8:H9"/>
    <mergeCell ref="B28:B29"/>
    <mergeCell ref="F28:F29"/>
    <mergeCell ref="G28:G29"/>
    <mergeCell ref="N10:N11"/>
    <mergeCell ref="N12:N13"/>
    <mergeCell ref="B24:B25"/>
    <mergeCell ref="B26:B27"/>
    <mergeCell ref="C24:E24"/>
    <mergeCell ref="F24:F25"/>
    <mergeCell ref="G24:G25"/>
    <mergeCell ref="F26:F27"/>
    <mergeCell ref="G26:G27"/>
    <mergeCell ref="H10:H11"/>
    <mergeCell ref="H12:H13"/>
    <mergeCell ref="B30:B31"/>
    <mergeCell ref="F30:F31"/>
    <mergeCell ref="G30:G31"/>
    <mergeCell ref="B32:B33"/>
    <mergeCell ref="F32:F33"/>
    <mergeCell ref="G32:G33"/>
    <mergeCell ref="B34:B35"/>
    <mergeCell ref="F34:F35"/>
    <mergeCell ref="G34:G35"/>
    <mergeCell ref="B36:B37"/>
    <mergeCell ref="F36:F37"/>
    <mergeCell ref="G36:G37"/>
    <mergeCell ref="B38:B39"/>
    <mergeCell ref="F38:F39"/>
    <mergeCell ref="G38:G39"/>
    <mergeCell ref="B40:B41"/>
    <mergeCell ref="F40:F41"/>
    <mergeCell ref="G40:G4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interaction plot</vt:lpstr>
      <vt:lpstr>table in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2026-06-01T07:30:47Z</dcterms:modified>
</cp:coreProperties>
</file>