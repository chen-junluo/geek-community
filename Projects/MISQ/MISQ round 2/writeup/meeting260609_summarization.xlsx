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ylanchen/Desktop/geek-community/Projects/MISQ/MISQ round 2/writeup/"/>
    </mc:Choice>
  </mc:AlternateContent>
  <xr:revisionPtr revIDLastSave="0" documentId="13_ncr:1_{4FA4A1F2-249C-B648-AB98-08566A614B9C}" xr6:coauthVersionLast="47" xr6:coauthVersionMax="47" xr10:uidLastSave="{00000000-0000-0000-0000-000000000000}"/>
  <bookViews>
    <workbookView xWindow="0" yWindow="760" windowWidth="30240" windowHeight="17360" xr2:uid="{30F402B7-E6D8-E34B-8063-713AC97DE139}"/>
  </bookViews>
  <sheets>
    <sheet name="interaction plot (20260608)" sheetId="6" r:id="rId1"/>
    <sheet name="table in paper" sheetId="3" r:id="rId2"/>
    <sheet name="Sheet1" sheetId="1" r:id="rId3"/>
    <sheet name="Sheet3" sheetId="5" r:id="rId4"/>
    <sheet name="interaction plot" sheetId="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28" i="6" l="1"/>
  <c r="A30" i="6"/>
  <c r="A29" i="6"/>
  <c r="B29" i="6" s="1"/>
  <c r="B30" i="6"/>
  <c r="A19" i="6"/>
  <c r="B19" i="6" s="1"/>
  <c r="A18" i="6"/>
  <c r="B18" i="6"/>
  <c r="B47" i="6"/>
  <c r="C47" i="6"/>
  <c r="A49" i="6"/>
  <c r="C49" i="6" s="1"/>
  <c r="A48" i="6"/>
  <c r="C48" i="6" s="1"/>
  <c r="A45" i="6"/>
  <c r="B45" i="6" s="1"/>
  <c r="A46" i="6"/>
  <c r="B46" i="6" s="1"/>
  <c r="C42" i="6"/>
  <c r="A41" i="6"/>
  <c r="C41" i="6" s="1"/>
  <c r="A40" i="6"/>
  <c r="C40" i="6" s="1"/>
  <c r="B39" i="6"/>
  <c r="A38" i="6"/>
  <c r="B38" i="6" s="1"/>
  <c r="A37" i="6"/>
  <c r="B37" i="6" s="1"/>
  <c r="B20" i="6"/>
  <c r="I10" i="6"/>
  <c r="H10" i="6"/>
  <c r="I8" i="6"/>
  <c r="H8" i="6"/>
  <c r="C11" i="5"/>
  <c r="J14" i="5"/>
  <c r="J15" i="5"/>
  <c r="J13" i="5"/>
  <c r="I12" i="5"/>
  <c r="I13" i="5"/>
  <c r="I11" i="5"/>
  <c r="C12" i="5"/>
  <c r="C13" i="5"/>
  <c r="D14" i="5"/>
  <c r="D15" i="5"/>
  <c r="D13" i="5"/>
  <c r="B37" i="2"/>
  <c r="C40" i="2"/>
  <c r="B19" i="2"/>
  <c r="E53" i="3"/>
  <c r="D53" i="3"/>
  <c r="C53" i="3"/>
  <c r="G52" i="3"/>
  <c r="F52" i="3"/>
  <c r="E52" i="3"/>
  <c r="D52" i="3"/>
  <c r="C52" i="3"/>
  <c r="E51" i="3"/>
  <c r="D51" i="3"/>
  <c r="C51" i="3"/>
  <c r="G50" i="3"/>
  <c r="F50" i="3"/>
  <c r="E50" i="3"/>
  <c r="D50" i="3"/>
  <c r="C50" i="3"/>
  <c r="E61" i="3"/>
  <c r="D61" i="3"/>
  <c r="C61" i="3"/>
  <c r="G60" i="3"/>
  <c r="F60" i="3"/>
  <c r="E60" i="3"/>
  <c r="D60" i="3"/>
  <c r="C60" i="3"/>
  <c r="E59" i="3"/>
  <c r="D59" i="3"/>
  <c r="C59" i="3"/>
  <c r="G58" i="3"/>
  <c r="F58" i="3"/>
  <c r="E58" i="3"/>
  <c r="D58" i="3"/>
  <c r="C58" i="3"/>
  <c r="E57" i="3"/>
  <c r="D57" i="3"/>
  <c r="C57" i="3"/>
  <c r="G56" i="3"/>
  <c r="F56" i="3"/>
  <c r="E56" i="3"/>
  <c r="D56" i="3"/>
  <c r="C56" i="3"/>
  <c r="E55" i="3"/>
  <c r="D55" i="3"/>
  <c r="C55" i="3"/>
  <c r="G54" i="3"/>
  <c r="F54" i="3"/>
  <c r="E54" i="3"/>
  <c r="D54" i="3"/>
  <c r="C54" i="3"/>
  <c r="E49" i="3"/>
  <c r="D49" i="3"/>
  <c r="C49" i="3"/>
  <c r="G48" i="3"/>
  <c r="F48" i="3"/>
  <c r="E48" i="3"/>
  <c r="D48" i="3"/>
  <c r="C48" i="3"/>
  <c r="E47" i="3"/>
  <c r="D47" i="3"/>
  <c r="C47" i="3"/>
  <c r="G46" i="3"/>
  <c r="F46" i="3"/>
  <c r="E46" i="3"/>
  <c r="D46" i="3"/>
  <c r="C46" i="3"/>
  <c r="B43" i="2"/>
  <c r="C46" i="2"/>
  <c r="C45" i="2"/>
  <c r="A25" i="2"/>
  <c r="B25" i="2" s="1"/>
  <c r="A24" i="2"/>
  <c r="B24" i="2" s="1"/>
  <c r="A18" i="2"/>
  <c r="B18" i="2" s="1"/>
  <c r="A17" i="2"/>
  <c r="B17" i="2" s="1"/>
  <c r="A46" i="2"/>
  <c r="A45" i="2"/>
  <c r="A44" i="2"/>
  <c r="B44" i="2" s="1"/>
  <c r="A43" i="2"/>
  <c r="A39" i="2"/>
  <c r="C39" i="2" s="1"/>
  <c r="A38" i="2"/>
  <c r="C38" i="2" s="1"/>
  <c r="A36" i="2"/>
  <c r="B36" i="2" s="1"/>
  <c r="A35" i="2"/>
  <c r="B35" i="2" s="1"/>
  <c r="H7" i="2"/>
  <c r="I9" i="2"/>
  <c r="H9" i="2"/>
  <c r="I7" i="2"/>
</calcChain>
</file>

<file path=xl/sharedStrings.xml><?xml version="1.0" encoding="utf-8"?>
<sst xmlns="http://schemas.openxmlformats.org/spreadsheetml/2006/main" count="918" uniqueCount="389">
  <si>
    <t>DV: # human answers</t>
  </si>
  <si>
    <t>DV: harzard first human answer</t>
  </si>
  <si>
    <t>DV: human1_human2_similarity</t>
  </si>
  <si>
    <t>DV: # other answers</t>
  </si>
  <si>
    <t>DV: harzard second answer</t>
  </si>
  <si>
    <t>treatment</t>
  </si>
  <si>
    <t>-0.046 ***</t>
  </si>
  <si>
    <t>-0.145 ***</t>
  </si>
  <si>
    <t>1.021 ***</t>
  </si>
  <si>
    <t>-0.024 *</t>
  </si>
  <si>
    <t>0.713 ***</t>
  </si>
  <si>
    <t>treatment:log_textLengthCNAI_fillna</t>
  </si>
  <si>
    <t>-0.104 *</t>
  </si>
  <si>
    <t>treatment:AISimWithAccept_fillna</t>
  </si>
  <si>
    <t>Num. obs.</t>
  </si>
  <si>
    <t>0.092</t>
  </si>
  <si>
    <t>(0.011)</t>
  </si>
  <si>
    <t>(0.083)</t>
  </si>
  <si>
    <t>(0.042)</t>
  </si>
  <si>
    <t>(0.310)</t>
  </si>
  <si>
    <t>(0.097)</t>
  </si>
  <si>
    <t>(0.079)</t>
  </si>
  <si>
    <t>(0.012)</t>
  </si>
  <si>
    <t>(0.502)</t>
  </si>
  <si>
    <t>(0.081)</t>
  </si>
  <si>
    <t>-0.006</t>
  </si>
  <si>
    <t>(0.014)</t>
  </si>
  <si>
    <t>(0.053)</t>
  </si>
  <si>
    <t>(0.017)</t>
  </si>
  <si>
    <t>(0.016)</t>
  </si>
  <si>
    <t>(0.085)</t>
  </si>
  <si>
    <t>0.075</t>
  </si>
  <si>
    <t>0.007</t>
  </si>
  <si>
    <t>(0.048)</t>
  </si>
  <si>
    <t>(0.183)</t>
  </si>
  <si>
    <t>(0.059)</t>
  </si>
  <si>
    <t>(0.056)</t>
  </si>
  <si>
    <t>(0.046)</t>
  </si>
  <si>
    <t>3613</t>
  </si>
  <si>
    <t>3123</t>
  </si>
  <si>
    <t>1162</t>
  </si>
  <si>
    <t>0.000</t>
  </si>
  <si>
    <t>0.076</t>
  </si>
  <si>
    <t>-0.212 *</t>
  </si>
  <si>
    <t>-0.166 *</t>
  </si>
  <si>
    <t>0.412 ***</t>
  </si>
  <si>
    <t>0.418 ***</t>
  </si>
  <si>
    <t>0.369 ***</t>
  </si>
  <si>
    <t>0.341 ***</t>
  </si>
  <si>
    <t>-0.151</t>
  </si>
  <si>
    <t>-0.104</t>
  </si>
  <si>
    <t>(0.104)</t>
  </si>
  <si>
    <t>(0.100)</t>
  </si>
  <si>
    <t>0.008</t>
  </si>
  <si>
    <t>-0.004</t>
  </si>
  <si>
    <t>-0.009</t>
  </si>
  <si>
    <t>-0.003</t>
  </si>
  <si>
    <t>(0.018)</t>
  </si>
  <si>
    <t>(0.061)</t>
  </si>
  <si>
    <t>(0.058)</t>
  </si>
  <si>
    <t>(0.049)</t>
  </si>
  <si>
    <t>2727</t>
  </si>
  <si>
    <t>1160</t>
  </si>
  <si>
    <t>0.001</t>
  </si>
  <si>
    <t>0.029 **</t>
  </si>
  <si>
    <t>(0.009)</t>
  </si>
  <si>
    <t>1913</t>
  </si>
  <si>
    <t>0.226 **</t>
  </si>
  <si>
    <t>1.113 ***</t>
  </si>
  <si>
    <t>-0.045</t>
  </si>
  <si>
    <t>0.022</t>
  </si>
  <si>
    <t>0.011</t>
  </si>
  <si>
    <t>-0.067</t>
  </si>
  <si>
    <t>(0.314)</t>
  </si>
  <si>
    <t>(0.109)</t>
  </si>
  <si>
    <t>(0.087)</t>
  </si>
  <si>
    <t>-0.045 **</t>
  </si>
  <si>
    <t>-0.227 ***</t>
  </si>
  <si>
    <t>(0.052)</t>
  </si>
  <si>
    <t>treatment:AISimWithOpus47_fillna</t>
  </si>
  <si>
    <t>-0.038</t>
  </si>
  <si>
    <t>0.056</t>
  </si>
  <si>
    <t>0.032</t>
  </si>
  <si>
    <t>0.024</t>
  </si>
  <si>
    <t>0.084</t>
  </si>
  <si>
    <t>(0.051)</t>
  </si>
  <si>
    <t>(0.197)</t>
  </si>
  <si>
    <t>(0.070)</t>
  </si>
  <si>
    <t>(0.067)</t>
  </si>
  <si>
    <t>(0.060)</t>
  </si>
  <si>
    <t>3603</t>
  </si>
  <si>
    <t>2720</t>
  </si>
  <si>
    <t>1158</t>
  </si>
  <si>
    <t>0.023</t>
  </si>
  <si>
    <t>(0.108)</t>
  </si>
  <si>
    <t>(0.102)</t>
  </si>
  <si>
    <t>-0.001</t>
  </si>
  <si>
    <t>0.005</t>
  </si>
  <si>
    <t>(0.068)</t>
  </si>
  <si>
    <t>(0.034)</t>
  </si>
  <si>
    <t>1904</t>
  </si>
  <si>
    <t>0.223 **</t>
  </si>
  <si>
    <t>1.158 ***</t>
  </si>
  <si>
    <t>-0.044</t>
  </si>
  <si>
    <t>0.017</t>
  </si>
  <si>
    <t>0.028</t>
  </si>
  <si>
    <t>-0.046</t>
  </si>
  <si>
    <t>(0.313)</t>
  </si>
  <si>
    <t>-0.042 **</t>
  </si>
  <si>
    <t>-0.230 ***</t>
  </si>
  <si>
    <t>0.009</t>
  </si>
  <si>
    <t>treatment:AISimWithDeepseek_fillna</t>
  </si>
  <si>
    <t>-0.050</t>
  </si>
  <si>
    <t>0.025</t>
  </si>
  <si>
    <t>0.034</t>
  </si>
  <si>
    <t>0.050</t>
  </si>
  <si>
    <t>(0.050)</t>
  </si>
  <si>
    <t>(0.192)</t>
  </si>
  <si>
    <t>(0.069)</t>
  </si>
  <si>
    <t>(0.066)</t>
  </si>
  <si>
    <t>3559</t>
  </si>
  <si>
    <t>2700</t>
  </si>
  <si>
    <t>1146</t>
  </si>
  <si>
    <t>-0.020</t>
  </si>
  <si>
    <t>DV: experience</t>
  </si>
  <si>
    <t>DV: insight</t>
  </si>
  <si>
    <t>DV: alternative</t>
  </si>
  <si>
    <t>DV: answer1_answer2_similarity</t>
  </si>
  <si>
    <t>0.347 ***</t>
  </si>
  <si>
    <t>(0.021)</t>
  </si>
  <si>
    <t>AI+AI:Sim w/ Opus (fillNA)
Setup 1</t>
  </si>
  <si>
    <t>AI+AI:Sim w/ Opus (fillNA)
Setup 2</t>
  </si>
  <si>
    <t>AI+AI:Sim w/ Deepseek (fillNA)
Setup 1</t>
  </si>
  <si>
    <t>AI+AI:Sim w/ Deepseek (fillNA)
Setup 2</t>
  </si>
  <si>
    <t>treatment:log_textLengthCN1Ans</t>
  </si>
  <si>
    <t>(0.086)</t>
  </si>
  <si>
    <t>(0.072)</t>
  </si>
  <si>
    <t>2736</t>
  </si>
  <si>
    <t>1909</t>
  </si>
  <si>
    <t>treatment:AISimWithAccept1Ans</t>
  </si>
  <si>
    <t>0.002</t>
  </si>
  <si>
    <t>treatment:SimWithDeepseek1Ans</t>
  </si>
  <si>
    <t>-0.075</t>
  </si>
  <si>
    <t>(0.078)</t>
  </si>
  <si>
    <t>3106</t>
  </si>
  <si>
    <t>1858</t>
  </si>
  <si>
    <t>1862</t>
  </si>
  <si>
    <t>-0.205 ***</t>
  </si>
  <si>
    <t>-0.015</t>
  </si>
  <si>
    <t>treatment:SimWithOpus1Ans</t>
  </si>
  <si>
    <t>3173</t>
  </si>
  <si>
    <t>1883</t>
  </si>
  <si>
    <t>1888</t>
  </si>
  <si>
    <t>0.018</t>
  </si>
  <si>
    <t>0.006</t>
  </si>
  <si>
    <t>0.232</t>
  </si>
  <si>
    <t>-0.377</t>
  </si>
  <si>
    <t>(0.496)</t>
  </si>
  <si>
    <t>(0.484)</t>
  </si>
  <si>
    <t>(0.415)</t>
  </si>
  <si>
    <t>(0.073)</t>
  </si>
  <si>
    <t>(0.812)</t>
  </si>
  <si>
    <t>-0.032</t>
  </si>
  <si>
    <t>(0.071)</t>
  </si>
  <si>
    <t>(0.160)</t>
  </si>
  <si>
    <t>0.211</t>
  </si>
  <si>
    <t>0.142</t>
  </si>
  <si>
    <t>0.754</t>
  </si>
  <si>
    <t>(0.219)</t>
  </si>
  <si>
    <t>(0.214)</t>
  </si>
  <si>
    <t>420</t>
  </si>
  <si>
    <t>114</t>
  </si>
  <si>
    <t>0.304</t>
  </si>
  <si>
    <t>(0.113)</t>
  </si>
  <si>
    <t>406</t>
  </si>
  <si>
    <t>250</t>
  </si>
  <si>
    <t>247</t>
  </si>
  <si>
    <r>
      <t xml:space="preserve">AI+AI:Sim w/ Accept (fillNA)
Setup 1
</t>
    </r>
    <r>
      <rPr>
        <sz val="12"/>
        <color rgb="FFFF0000"/>
        <rFont val="Aptos Narrow (Body)"/>
      </rPr>
      <t>- 对于LLM quality DV：如果这个样本本身就是accepted/most like，剔除
- 对于human1_human2_similarity，如果计算DV涉及到accepted/most like的answer，剔除</t>
    </r>
  </si>
  <si>
    <r>
      <t xml:space="preserve">AI+AI:Sim w/ Accept (fillNA)
Setup 2
</t>
    </r>
    <r>
      <rPr>
        <sz val="12"/>
        <color rgb="FFFF0000"/>
        <rFont val="Aptos Narrow (Body)"/>
      </rPr>
      <t>- 对于LLM quality DV：如果这个样本本身就是accepted/most like，剔除
- 对于answer1_answer2_similarity，如果计算DV涉及到accepted/most like的answer，剔除</t>
    </r>
  </si>
  <si>
    <r>
      <t xml:space="preserve">AI+AI:Sim w/ Accept (fillNA)
Setup 1
- experience/insight/alternative样本限制在first human answer
p.s. </t>
    </r>
    <r>
      <rPr>
        <sz val="12"/>
        <color rgb="FFFF0000"/>
        <rFont val="Aptos Narrow (Body)"/>
      </rPr>
      <t>现在的样本如果涉及accepted/most like，没有剔除。</t>
    </r>
  </si>
  <si>
    <r>
      <t xml:space="preserve">AI+AI:Sim w/ Accept (fillNA)
Setup 2
- contribution DV变成# other answer，也就是control里面从第二个human开始计数。所以treatment正向显著
- experience/insight/alternative样本限制在second answer
p.s. 现在的交互是first answer的质量（可以是AI也可以是人）
p.s. </t>
    </r>
    <r>
      <rPr>
        <sz val="12"/>
        <color rgb="FFFF0000"/>
        <rFont val="Aptos Narrow (Body)"/>
      </rPr>
      <t>现在的样本如果涉及accepted/most like，没有剔除。</t>
    </r>
  </si>
  <si>
    <t>-0.381 **</t>
  </si>
  <si>
    <t>-1.077 *</t>
  </si>
  <si>
    <t>-0.258 *</t>
  </si>
  <si>
    <t>-0.180 .</t>
  </si>
  <si>
    <t>-0.199 ***</t>
  </si>
  <si>
    <t>log_textLengthCN1Ans</t>
  </si>
  <si>
    <t>-0.131 *</t>
  </si>
  <si>
    <t>0.035 ***</t>
  </si>
  <si>
    <t>0.041 ***</t>
  </si>
  <si>
    <t>0.014 .</t>
  </si>
  <si>
    <t>0.012 **</t>
  </si>
  <si>
    <t>-1.117 ***</t>
  </si>
  <si>
    <t>-2.713 ***</t>
  </si>
  <si>
    <t>-0.176 ***</t>
  </si>
  <si>
    <t>-0.159 ***</t>
  </si>
  <si>
    <t>-0.107 **</t>
  </si>
  <si>
    <t>0.167 ***</t>
  </si>
  <si>
    <t>-0.040 *</t>
  </si>
  <si>
    <t>-0.027 .</t>
  </si>
  <si>
    <t>1.228 ***</t>
  </si>
  <si>
    <t>3.232 ***</t>
  </si>
  <si>
    <t>0.577 ***</t>
  </si>
  <si>
    <t>0.570 ***</t>
  </si>
  <si>
    <t>0.449 ***</t>
  </si>
  <si>
    <t>0.684 ***</t>
  </si>
  <si>
    <t>-0.128</t>
  </si>
  <si>
    <t>(0.118)</t>
  </si>
  <si>
    <t>(0.547)</t>
  </si>
  <si>
    <t>(0.111)</t>
  </si>
  <si>
    <t>(0.105)</t>
  </si>
  <si>
    <t>(0.008)</t>
  </si>
  <si>
    <t>(0.057)</t>
  </si>
  <si>
    <t>(0.010)</t>
  </si>
  <si>
    <t>(0.004)</t>
  </si>
  <si>
    <t>(0.043)</t>
  </si>
  <si>
    <t>(0.221)</t>
  </si>
  <si>
    <t>(0.038)</t>
  </si>
  <si>
    <t>(0.019)</t>
  </si>
  <si>
    <t>-0.027</t>
  </si>
  <si>
    <t>-0.023</t>
  </si>
  <si>
    <t>-0.011</t>
  </si>
  <si>
    <t>(0.020)</t>
  </si>
  <si>
    <t>(0.101)</t>
  </si>
  <si>
    <t>(0.015)</t>
  </si>
  <si>
    <t>(0.376)</t>
  </si>
  <si>
    <t>(0.077)</t>
  </si>
  <si>
    <t>(0.029)</t>
  </si>
  <si>
    <t>AISimWithAccept1Ans</t>
  </si>
  <si>
    <t>SimWithOpus1Ans</t>
  </si>
  <si>
    <t>SimWithDeepseek1Ans</t>
  </si>
  <si>
    <t>0.664 ***</t>
  </si>
  <si>
    <t>1.289 *</t>
  </si>
  <si>
    <t>0.089</t>
  </si>
  <si>
    <t>0.094</t>
  </si>
  <si>
    <t>(0.139)</t>
  </si>
  <si>
    <t>(0.541)</t>
  </si>
  <si>
    <t>(0.115)</t>
  </si>
  <si>
    <t>(0.089)</t>
  </si>
  <si>
    <t>(0.055)</t>
  </si>
  <si>
    <t>0.027 *</t>
  </si>
  <si>
    <t>(0.005)</t>
  </si>
  <si>
    <t>-0.082</t>
  </si>
  <si>
    <t>-0.196</t>
  </si>
  <si>
    <t>-0.035</t>
  </si>
  <si>
    <t>0.118 .</t>
  </si>
  <si>
    <t>0.533 ***</t>
  </si>
  <si>
    <t>(0.412)</t>
  </si>
  <si>
    <t>-0.056 *</t>
  </si>
  <si>
    <t>-0.016</t>
  </si>
  <si>
    <t>-0.036 .</t>
  </si>
  <si>
    <t>(0.024)</t>
  </si>
  <si>
    <t>(0.098)</t>
  </si>
  <si>
    <t>0.003</t>
  </si>
  <si>
    <t>-0.102</t>
  </si>
  <si>
    <t>-0.007</t>
  </si>
  <si>
    <t>-0.083</t>
  </si>
  <si>
    <t>-0.174 ***</t>
  </si>
  <si>
    <t>(0.110)</t>
  </si>
  <si>
    <t>(0.508)</t>
  </si>
  <si>
    <t>1.239 *</t>
  </si>
  <si>
    <t>0.071</t>
  </si>
  <si>
    <t>0.080</t>
  </si>
  <si>
    <t>(0.544)</t>
  </si>
  <si>
    <t>(0.116)</t>
  </si>
  <si>
    <t>-0.026 *</t>
  </si>
  <si>
    <t>-0.208 ***</t>
  </si>
  <si>
    <t>0.036 ***</t>
  </si>
  <si>
    <t>-0.025</t>
  </si>
  <si>
    <t>-0.063</t>
  </si>
  <si>
    <t>-0.056</t>
  </si>
  <si>
    <t>-0.108</t>
  </si>
  <si>
    <t>0.093</t>
  </si>
  <si>
    <t>0.494 ***</t>
  </si>
  <si>
    <t>(0.364)</t>
  </si>
  <si>
    <t>(0.074)</t>
  </si>
  <si>
    <t>-0.058 *</t>
  </si>
  <si>
    <t>-0.073</t>
  </si>
  <si>
    <t>-0.018</t>
  </si>
  <si>
    <t>-0.037 .</t>
  </si>
  <si>
    <t>-0.017</t>
  </si>
  <si>
    <t>-0.033</t>
  </si>
  <si>
    <t>0.057</t>
  </si>
  <si>
    <t>0.106</t>
  </si>
  <si>
    <t>-0.031</t>
  </si>
  <si>
    <t>-0.109 *</t>
  </si>
  <si>
    <t>(0.477)</t>
  </si>
  <si>
    <t>(0.096)</t>
  </si>
  <si>
    <t>0.140</t>
  </si>
  <si>
    <t>0.470</t>
  </si>
  <si>
    <t>0.173</t>
  </si>
  <si>
    <t>-0.244</t>
  </si>
  <si>
    <t>(0.466)</t>
  </si>
  <si>
    <t>(0.384)</t>
  </si>
  <si>
    <t>(0.253)</t>
  </si>
  <si>
    <t>0.041 .</t>
  </si>
  <si>
    <t>0.012</t>
  </si>
  <si>
    <t>-0.063 **</t>
  </si>
  <si>
    <t>(0.023)</t>
  </si>
  <si>
    <t>(0.022)</t>
  </si>
  <si>
    <t>-0.168</t>
  </si>
  <si>
    <t>-0.175</t>
  </si>
  <si>
    <t>-0.228 *</t>
  </si>
  <si>
    <t>0.441 *</t>
  </si>
  <si>
    <t>(0.122)</t>
  </si>
  <si>
    <t>(0.093)</t>
  </si>
  <si>
    <t>(0.169)</t>
  </si>
  <si>
    <t>-0.134 .</t>
  </si>
  <si>
    <t>-0.062</t>
  </si>
  <si>
    <t>0.073 .</t>
  </si>
  <si>
    <t>0.472 .</t>
  </si>
  <si>
    <t>0.230</t>
  </si>
  <si>
    <t>(0.252)</t>
  </si>
  <si>
    <t>(0.234)</t>
  </si>
  <si>
    <t>(0.193)</t>
  </si>
  <si>
    <t>(0.209)</t>
  </si>
  <si>
    <t>log_textLengthCNAI_fillna</t>
  </si>
  <si>
    <t>AI Answer</t>
  </si>
  <si>
    <t>Human Answer</t>
  </si>
  <si>
    <t>AI</t>
  </si>
  <si>
    <t>Human</t>
  </si>
  <si>
    <t>mean</t>
  </si>
  <si>
    <t>std</t>
  </si>
  <si>
    <t>AISimWithOpus47_fillna</t>
  </si>
  <si>
    <t>Variable</t>
  </si>
  <si>
    <t>Mean and SD</t>
  </si>
  <si>
    <t>Min</t>
  </si>
  <si>
    <t>Max</t>
  </si>
  <si>
    <t>All samples</t>
  </si>
  <si>
    <t>Treatment group</t>
  </si>
  <si>
    <t>Control group</t>
  </si>
  <si>
    <t>question length (number of Chinese characters)</t>
  </si>
  <si>
    <t>number of human-generated answers received by a question</t>
  </si>
  <si>
    <t>average number of net likes received by all the answers to a question</t>
  </si>
  <si>
    <r>
      <t>AI</t>
    </r>
    <r>
      <rPr>
        <i/>
        <vertAlign val="subscript"/>
        <sz val="10"/>
        <color rgb="FF000000"/>
        <rFont val="Times New Roman"/>
        <family val="1"/>
      </rPr>
      <t>i</t>
    </r>
  </si>
  <si>
    <t>question controls</t>
  </si>
  <si>
    <t>√</t>
  </si>
  <si>
    <t>questioner controls</t>
  </si>
  <si>
    <t>question timing FE</t>
  </si>
  <si>
    <t>N</t>
  </si>
  <si>
    <t>(1)</t>
  </si>
  <si>
    <t>(2)</t>
  </si>
  <si>
    <t>(3)</t>
  </si>
  <si>
    <t>(4)</t>
  </si>
  <si>
    <t>3,613</t>
  </si>
  <si>
    <t>DV:</t>
  </si>
  <si>
    <t>log of the number of human answers provided within 7 days (answerNumi)</t>
  </si>
  <si>
    <t>3,603</t>
  </si>
  <si>
    <t>harzard first human answer (harzardFirstHumani)</t>
  </si>
  <si>
    <t>log of the number of following answers provided within 7 days (answerNumi)</t>
  </si>
  <si>
    <t>harzard second answer (harzardSecondAnsi)</t>
  </si>
  <si>
    <t>3,173</t>
  </si>
  <si>
    <t>similarity between the fisrt answer and the second answer</t>
  </si>
  <si>
    <t>1,913</t>
  </si>
  <si>
    <t>1,888</t>
  </si>
  <si>
    <t>similarity between the second answer to the first answer</t>
  </si>
  <si>
    <t>similarity between the first answer and LLM</t>
  </si>
  <si>
    <t>log of length for AI-generated answer (with 0 filled for control group)</t>
  </si>
  <si>
    <t xml:space="preserve">log of length for the first answer </t>
  </si>
  <si>
    <t>similarity between AI-generated answer and LLM (with 0 filled for control group)</t>
  </si>
  <si>
    <r>
      <t>length1Ans</t>
    </r>
    <r>
      <rPr>
        <i/>
        <vertAlign val="subscript"/>
        <sz val="10"/>
        <color rgb="FF000000"/>
        <rFont val="Times New Roman"/>
        <family val="1"/>
      </rPr>
      <t>i</t>
    </r>
  </si>
  <si>
    <r>
      <t>simWithLLM1Ans</t>
    </r>
    <r>
      <rPr>
        <i/>
        <vertAlign val="subscript"/>
        <sz val="10"/>
        <color rgb="FF000000"/>
        <rFont val="Times New Roman"/>
        <family val="1"/>
      </rPr>
      <t>i</t>
    </r>
  </si>
  <si>
    <r>
      <t>AI</t>
    </r>
    <r>
      <rPr>
        <i/>
        <vertAlign val="subscript"/>
        <sz val="10"/>
        <color rgb="FF000000"/>
        <rFont val="Times New Roman"/>
        <family val="1"/>
      </rPr>
      <t>i</t>
    </r>
    <r>
      <rPr>
        <i/>
        <sz val="10"/>
        <color rgb="FF000000"/>
        <rFont val="Times New Roman"/>
        <family val="1"/>
      </rPr>
      <t xml:space="preserve"> * length1Ans</t>
    </r>
    <r>
      <rPr>
        <i/>
        <vertAlign val="subscript"/>
        <sz val="10"/>
        <color rgb="FF000000"/>
        <rFont val="Times New Roman"/>
        <family val="1"/>
      </rPr>
      <t>i</t>
    </r>
  </si>
  <si>
    <r>
      <t>AI</t>
    </r>
    <r>
      <rPr>
        <i/>
        <vertAlign val="subscript"/>
        <sz val="10"/>
        <color rgb="FF000000"/>
        <rFont val="Times New Roman"/>
        <family val="1"/>
      </rPr>
      <t>i</t>
    </r>
    <r>
      <rPr>
        <i/>
        <sz val="10"/>
        <color rgb="FF000000"/>
        <rFont val="Times New Roman"/>
        <family val="1"/>
      </rPr>
      <t xml:space="preserve"> * simWithLLM1Ans</t>
    </r>
    <r>
      <rPr>
        <i/>
        <vertAlign val="subscript"/>
        <sz val="10"/>
        <color rgb="FF000000"/>
        <rFont val="Times New Roman"/>
        <family val="1"/>
      </rPr>
      <t>i</t>
    </r>
  </si>
  <si>
    <r>
      <t>AI</t>
    </r>
    <r>
      <rPr>
        <i/>
        <vertAlign val="subscript"/>
        <sz val="10"/>
        <color rgb="FF000000"/>
        <rFont val="Times New Roman"/>
        <family val="1"/>
      </rPr>
      <t>i</t>
    </r>
    <r>
      <rPr>
        <i/>
        <sz val="10"/>
        <color rgb="FF000000"/>
        <rFont val="Times New Roman"/>
        <family val="1"/>
      </rPr>
      <t xml:space="preserve"> * AILength</t>
    </r>
    <r>
      <rPr>
        <i/>
        <vertAlign val="subscript"/>
        <sz val="10"/>
        <color rgb="FF000000"/>
        <rFont val="Times New Roman"/>
        <family val="1"/>
      </rPr>
      <t>i</t>
    </r>
  </si>
  <si>
    <r>
      <t>AI</t>
    </r>
    <r>
      <rPr>
        <i/>
        <vertAlign val="subscript"/>
        <sz val="10"/>
        <color rgb="FF000000"/>
        <rFont val="Times New Roman"/>
        <family val="1"/>
      </rPr>
      <t>i</t>
    </r>
    <r>
      <rPr>
        <i/>
        <sz val="10"/>
        <color rgb="FF000000"/>
        <rFont val="Times New Roman"/>
        <family val="1"/>
      </rPr>
      <t xml:space="preserve"> * AISimWithLLM</t>
    </r>
    <r>
      <rPr>
        <i/>
        <vertAlign val="subscript"/>
        <sz val="10"/>
        <color rgb="FF000000"/>
        <rFont val="Times New Roman"/>
        <family val="1"/>
      </rPr>
      <t>i</t>
    </r>
  </si>
  <si>
    <t>No Answer</t>
  </si>
  <si>
    <t>Has1stAns</t>
  </si>
  <si>
    <t>1stLength</t>
  </si>
  <si>
    <t>1stSimTrue</t>
  </si>
  <si>
    <t>1stAI</t>
  </si>
  <si>
    <t>1stAI*1stLength</t>
  </si>
  <si>
    <t>1stAI*1stSimTrue</t>
  </si>
  <si>
    <t>1st Human</t>
  </si>
  <si>
    <t>1st AI</t>
  </si>
  <si>
    <t>Length</t>
  </si>
  <si>
    <t># Answer after 7 days</t>
  </si>
  <si>
    <t>1/Next Answer Time</t>
  </si>
  <si>
    <t>DV:  first human answer quality</t>
  </si>
  <si>
    <t>DV: quality first human answer</t>
  </si>
  <si>
    <t>Reputation</t>
  </si>
  <si>
    <t>Reputation:SimWithOpus1Ans</t>
  </si>
  <si>
    <t>Reputation:log_textLengthCN1Ans</t>
  </si>
  <si>
    <t>(0.007)</t>
  </si>
  <si>
    <t>-0.013</t>
  </si>
  <si>
    <t>0.350 ***</t>
  </si>
  <si>
    <t>first human answer quality (human1SimWithLLMi)</t>
  </si>
  <si>
    <t>2,685</t>
  </si>
  <si>
    <t>-0.120 .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</si>
</sst>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Aptos Narrow"/>
      <family val="2"/>
      <scheme val="minor"/>
    </font>
    <font>
      <sz val="12"/>
      <color rgb="FFFF0000"/>
      <name val="Aptos Narrow (Body)"/>
    </font>
    <font>
      <sz val="12"/>
      <color rgb="FFFF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color theme="1"/>
      <name val="Georgia"/>
      <family val="1"/>
    </font>
    <font>
      <sz val="10"/>
      <color theme="1"/>
      <name val="Times New Roman"/>
      <family val="1"/>
    </font>
    <font>
      <sz val="10"/>
      <color rgb="FF000000"/>
      <name val="Times New Roman"/>
      <family val="1"/>
    </font>
    <font>
      <i/>
      <sz val="10"/>
      <color rgb="FF000000"/>
      <name val="Times New Roman"/>
      <family val="1"/>
    </font>
    <font>
      <i/>
      <vertAlign val="subscript"/>
      <sz val="10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0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/>
    </xf>
    <xf numFmtId="49" fontId="0" fillId="0" borderId="1" xfId="0" applyNumberFormat="1" applyBorder="1"/>
    <xf numFmtId="49" fontId="0" fillId="0" borderId="1" xfId="0" applyNumberFormat="1" applyBorder="1" applyAlignment="1">
      <alignment horizontal="center"/>
    </xf>
    <xf numFmtId="49" fontId="2" fillId="0" borderId="1" xfId="0" applyNumberFormat="1" applyFont="1" applyBorder="1" applyAlignment="1">
      <alignment horizontal="center"/>
    </xf>
    <xf numFmtId="0" fontId="3" fillId="0" borderId="0" xfId="0" applyFont="1"/>
    <xf numFmtId="49" fontId="3" fillId="0" borderId="1" xfId="0" applyNumberFormat="1" applyFont="1" applyBorder="1" applyAlignment="1">
      <alignment horizontal="center"/>
    </xf>
    <xf numFmtId="49" fontId="0" fillId="2" borderId="1" xfId="0" applyNumberFormat="1" applyFill="1" applyBorder="1" applyAlignment="1">
      <alignment horizontal="center"/>
    </xf>
    <xf numFmtId="49" fontId="0" fillId="2" borderId="0" xfId="0" applyNumberFormat="1" applyFill="1" applyAlignment="1">
      <alignment horizontal="center"/>
    </xf>
    <xf numFmtId="49" fontId="0" fillId="0" borderId="0" xfId="0" applyNumberFormat="1" applyAlignment="1">
      <alignment horizontal="left" vertical="center"/>
    </xf>
    <xf numFmtId="49" fontId="2" fillId="0" borderId="0" xfId="0" applyNumberFormat="1" applyFont="1" applyAlignment="1">
      <alignment horizontal="center"/>
    </xf>
    <xf numFmtId="49" fontId="2" fillId="2" borderId="1" xfId="0" applyNumberFormat="1" applyFont="1" applyFill="1" applyBorder="1" applyAlignment="1">
      <alignment horizontal="center"/>
    </xf>
    <xf numFmtId="49" fontId="6" fillId="0" borderId="0" xfId="0" applyNumberFormat="1" applyFont="1" applyAlignment="1">
      <alignment horizontal="center" vertical="center"/>
    </xf>
    <xf numFmtId="49" fontId="6" fillId="0" borderId="0" xfId="0" applyNumberFormat="1" applyFont="1" applyAlignment="1">
      <alignment vertical="center"/>
    </xf>
    <xf numFmtId="49" fontId="4" fillId="0" borderId="0" xfId="0" applyNumberFormat="1" applyFont="1" applyAlignment="1">
      <alignment horizontal="right" vertical="center"/>
    </xf>
    <xf numFmtId="49" fontId="6" fillId="0" borderId="5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5" fillId="0" borderId="5" xfId="0" applyFont="1" applyBorder="1" applyAlignment="1">
      <alignment horizontal="center"/>
    </xf>
    <xf numFmtId="49" fontId="5" fillId="0" borderId="5" xfId="0" applyNumberFormat="1" applyFont="1" applyBorder="1" applyAlignment="1">
      <alignment horizontal="center" vertical="center" wrapText="1"/>
    </xf>
    <xf numFmtId="49" fontId="6" fillId="0" borderId="5" xfId="0" applyNumberFormat="1" applyFont="1" applyBorder="1" applyAlignment="1">
      <alignment vertical="center"/>
    </xf>
    <xf numFmtId="49" fontId="4" fillId="0" borderId="6" xfId="0" applyNumberFormat="1" applyFont="1" applyBorder="1" applyAlignment="1">
      <alignment vertical="top"/>
    </xf>
    <xf numFmtId="49" fontId="6" fillId="0" borderId="6" xfId="0" applyNumberFormat="1" applyFont="1" applyBorder="1" applyAlignment="1">
      <alignment horizontal="center" vertical="center"/>
    </xf>
    <xf numFmtId="0" fontId="4" fillId="0" borderId="0" xfId="0" applyFont="1" applyAlignment="1">
      <alignment vertical="center" wrapText="1"/>
    </xf>
    <xf numFmtId="49" fontId="0" fillId="3" borderId="1" xfId="0" applyNumberFormat="1" applyFill="1" applyBorder="1" applyAlignment="1">
      <alignment horizontal="center"/>
    </xf>
    <xf numFmtId="0" fontId="0" fillId="3" borderId="0" xfId="0" applyFill="1"/>
    <xf numFmtId="49" fontId="0" fillId="0" borderId="3" xfId="0" applyNumberFormat="1" applyBorder="1" applyAlignment="1">
      <alignment horizontal="left" vertical="center"/>
    </xf>
    <xf numFmtId="49" fontId="0" fillId="0" borderId="4" xfId="0" applyNumberFormat="1" applyBorder="1" applyAlignment="1">
      <alignment horizontal="left" vertical="center"/>
    </xf>
    <xf numFmtId="49" fontId="0" fillId="0" borderId="2" xfId="0" applyNumberFormat="1" applyBorder="1" applyAlignment="1">
      <alignment horizontal="left" vertical="center" wrapText="1"/>
    </xf>
    <xf numFmtId="49" fontId="0" fillId="0" borderId="2" xfId="0" applyNumberFormat="1" applyBorder="1" applyAlignment="1">
      <alignment horizontal="left" vertical="center"/>
    </xf>
    <xf numFmtId="49" fontId="0" fillId="0" borderId="1" xfId="0" applyNumberFormat="1" applyBorder="1" applyAlignment="1">
      <alignment horizontal="center"/>
    </xf>
    <xf numFmtId="49" fontId="0" fillId="3" borderId="1" xfId="0" applyNumberFormat="1" applyFill="1" applyBorder="1" applyAlignment="1">
      <alignment horizontal="center"/>
    </xf>
    <xf numFmtId="49" fontId="5" fillId="0" borderId="0" xfId="0" applyNumberFormat="1" applyFont="1" applyAlignment="1">
      <alignment horizontal="justify" vertical="center" wrapText="1"/>
    </xf>
    <xf numFmtId="49" fontId="5" fillId="0" borderId="0" xfId="0" applyNumberFormat="1" applyFont="1" applyAlignment="1">
      <alignment horizontal="center" vertical="center" wrapText="1"/>
    </xf>
    <xf numFmtId="49" fontId="5" fillId="0" borderId="5" xfId="0" applyNumberFormat="1" applyFont="1" applyBorder="1" applyAlignment="1">
      <alignment horizontal="justify" vertical="center" wrapText="1"/>
    </xf>
    <xf numFmtId="49" fontId="5" fillId="0" borderId="5" xfId="0" applyNumberFormat="1" applyFont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7" fillId="0" borderId="5" xfId="0" applyFont="1" applyBorder="1" applyAlignment="1">
      <alignment vertical="center"/>
    </xf>
    <xf numFmtId="49" fontId="5" fillId="0" borderId="6" xfId="0" applyNumberFormat="1" applyFont="1" applyBorder="1" applyAlignment="1">
      <alignment horizontal="center" vertical="center" wrapText="1"/>
    </xf>
    <xf numFmtId="49" fontId="6" fillId="0" borderId="5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F9F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061753997970763"/>
          <c:y val="3.8477365008348238E-2"/>
          <c:w val="0.84032668048786519"/>
          <c:h val="0.84574582376348373"/>
        </c:manualLayout>
      </c:layout>
      <c:scatterChart>
        <c:scatterStyle val="lineMarker"/>
        <c:varyColors val="0"/>
        <c:ser>
          <c:idx val="3"/>
          <c:order val="0"/>
          <c:tx>
            <c:strRef>
              <c:f>'interaction plot (20260608)'!$B$36</c:f>
              <c:strCache>
                <c:ptCount val="1"/>
                <c:pt idx="0">
                  <c:v>AI Answer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Pt>
            <c:idx val="2"/>
            <c:marker>
              <c:symbol val="circle"/>
              <c:size val="5"/>
              <c:spPr>
                <a:solidFill>
                  <a:schemeClr val="accent4"/>
                </a:solidFill>
                <a:ln w="9525">
                  <a:solidFill>
                    <a:schemeClr val="accent4"/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4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F1FF-4BD2-BC6E-5B9A0D3E65F9}"/>
              </c:ext>
            </c:extLst>
          </c:dPt>
          <c:xVal>
            <c:numRef>
              <c:f>'interaction plot (20260608)'!$A$37:$A$42</c:f>
              <c:numCache>
                <c:formatCode>General</c:formatCode>
                <c:ptCount val="6"/>
                <c:pt idx="0">
                  <c:v>5.1203884999999998</c:v>
                </c:pt>
                <c:pt idx="1">
                  <c:v>6.2315934999999998</c:v>
                </c:pt>
                <c:pt idx="2">
                  <c:v>0</c:v>
                </c:pt>
                <c:pt idx="3">
                  <c:v>2.1058599999999998</c:v>
                </c:pt>
                <c:pt idx="4">
                  <c:v>4.780926</c:v>
                </c:pt>
                <c:pt idx="5">
                  <c:v>0</c:v>
                </c:pt>
              </c:numCache>
            </c:numRef>
          </c:xVal>
          <c:yVal>
            <c:numRef>
              <c:f>'interaction plot (20260608)'!$B$37:$B$41</c:f>
              <c:numCache>
                <c:formatCode>General</c:formatCode>
                <c:ptCount val="5"/>
                <c:pt idx="0">
                  <c:v>0.25388736600000006</c:v>
                </c:pt>
                <c:pt idx="1">
                  <c:v>0.16054614600000006</c:v>
                </c:pt>
                <c:pt idx="2">
                  <c:v>0.68400000000000005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1FF-4BD2-BC6E-5B9A0D3E65F9}"/>
            </c:ext>
          </c:extLst>
        </c:ser>
        <c:ser>
          <c:idx val="0"/>
          <c:order val="1"/>
          <c:tx>
            <c:strRef>
              <c:f>'interaction plot (20260608)'!$C$36</c:f>
              <c:strCache>
                <c:ptCount val="1"/>
                <c:pt idx="0">
                  <c:v>Human Answer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5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F1FF-4BD2-BC6E-5B9A0D3E65F9}"/>
              </c:ext>
            </c:extLst>
          </c:dPt>
          <c:xVal>
            <c:numRef>
              <c:f>'interaction plot (20260608)'!$A$37:$A$42</c:f>
              <c:numCache>
                <c:formatCode>General</c:formatCode>
                <c:ptCount val="6"/>
                <c:pt idx="0">
                  <c:v>5.1203884999999998</c:v>
                </c:pt>
                <c:pt idx="1">
                  <c:v>6.2315934999999998</c:v>
                </c:pt>
                <c:pt idx="2">
                  <c:v>0</c:v>
                </c:pt>
                <c:pt idx="3">
                  <c:v>2.1058599999999998</c:v>
                </c:pt>
                <c:pt idx="4">
                  <c:v>4.780926</c:v>
                </c:pt>
                <c:pt idx="5">
                  <c:v>0</c:v>
                </c:pt>
              </c:numCache>
            </c:numRef>
          </c:xVal>
          <c:yVal>
            <c:numRef>
              <c:f>'interaction plot (20260608)'!$C$37:$C$42</c:f>
              <c:numCache>
                <c:formatCode>General</c:formatCode>
                <c:ptCount val="6"/>
                <c:pt idx="3">
                  <c:v>-5.4752359999999993E-2</c:v>
                </c:pt>
                <c:pt idx="4">
                  <c:v>-0.124304076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1FF-4BD2-BC6E-5B9A0D3E65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3614864"/>
        <c:axId val="1273614384"/>
      </c:scatterChart>
      <c:valAx>
        <c:axId val="1273614384"/>
        <c:scaling>
          <c:orientation val="minMax"/>
          <c:max val="1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7 day #Answer</a:t>
                </a:r>
              </a:p>
            </c:rich>
          </c:tx>
          <c:layout>
            <c:manualLayout>
              <c:xMode val="edge"/>
              <c:yMode val="edge"/>
              <c:x val="2.202964591897557E-2"/>
              <c:y val="0.3310174384816617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3614864"/>
        <c:crosses val="autoZero"/>
        <c:crossBetween val="midCat"/>
      </c:valAx>
      <c:valAx>
        <c:axId val="1273614864"/>
        <c:scaling>
          <c:orientation val="minMax"/>
          <c:max val="7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Answer Length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3614384"/>
        <c:crossesAt val="-0.2"/>
        <c:crossBetween val="midCat"/>
        <c:majorUnit val="1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0671602810687939"/>
          <c:y val="8.0683756823053135E-2"/>
          <c:w val="0.23270244561593784"/>
          <c:h val="0.1180563780157357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16882476950483"/>
          <c:y val="4.3161431167558426E-2"/>
          <c:w val="0.83437263290876029"/>
          <c:h val="0.82343050885998825"/>
        </c:manualLayout>
      </c:layout>
      <c:scatterChart>
        <c:scatterStyle val="lineMarker"/>
        <c:varyColors val="0"/>
        <c:ser>
          <c:idx val="1"/>
          <c:order val="0"/>
          <c:tx>
            <c:strRef>
              <c:f>'interaction plot (20260608)'!$C$36</c:f>
              <c:strCache>
                <c:ptCount val="1"/>
                <c:pt idx="0">
                  <c:v>Human Answer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dash"/>
              </a:ln>
              <a:effectLst/>
            </c:spPr>
          </c:marker>
          <c:dPt>
            <c:idx val="2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  <a:prstDash val="dash"/>
                </a:ln>
                <a:effectLst/>
              </c:spPr>
            </c:marker>
            <c:bubble3D val="0"/>
            <c:spPr>
              <a:ln w="19050" cap="rnd">
                <a:solidFill>
                  <a:schemeClr val="accent2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3B58-7349-A6C5-09BADE77279A}"/>
              </c:ext>
            </c:extLst>
          </c:dPt>
          <c:xVal>
            <c:numRef>
              <c:f>'interaction plot (20260608)'!$A$47:$A$49</c:f>
              <c:numCache>
                <c:formatCode>General</c:formatCode>
                <c:ptCount val="3"/>
                <c:pt idx="0">
                  <c:v>0</c:v>
                </c:pt>
                <c:pt idx="1">
                  <c:v>0.25836000000000003</c:v>
                </c:pt>
                <c:pt idx="2">
                  <c:v>0.63216220000000001</c:v>
                </c:pt>
              </c:numCache>
            </c:numRef>
          </c:xVal>
          <c:yVal>
            <c:numRef>
              <c:f>'interaction plot (20260608)'!$C$47:$C$49</c:f>
              <c:numCache>
                <c:formatCode>General</c:formatCode>
                <c:ptCount val="3"/>
                <c:pt idx="0">
                  <c:v>0</c:v>
                </c:pt>
                <c:pt idx="1">
                  <c:v>0.12762984000000002</c:v>
                </c:pt>
                <c:pt idx="2">
                  <c:v>0.31228812680000001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034-469D-9EE5-06BBBABFA6CF}"/>
            </c:ext>
          </c:extLst>
        </c:ser>
        <c:ser>
          <c:idx val="2"/>
          <c:order val="1"/>
          <c:tx>
            <c:strRef>
              <c:f>'interaction plot (20260608)'!$B$36</c:f>
              <c:strCache>
                <c:ptCount val="1"/>
                <c:pt idx="0">
                  <c:v>AI Answer</c:v>
                </c:pt>
              </c:strCache>
            </c:strRef>
          </c:tx>
          <c:spPr>
            <a:ln w="19050" cap="rnd">
              <a:solidFill>
                <a:schemeClr val="accent3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Pt>
            <c:idx val="2"/>
            <c:marker>
              <c:symbol val="circle"/>
              <c:size val="5"/>
              <c:spPr>
                <a:solidFill>
                  <a:schemeClr val="accent3"/>
                </a:solidFill>
                <a:ln w="9525">
                  <a:solidFill>
                    <a:schemeClr val="accent3"/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3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4A42-4160-9AAE-00CF9DC0F4D6}"/>
              </c:ext>
            </c:extLst>
          </c:dPt>
          <c:xVal>
            <c:numRef>
              <c:f>'interaction plot (20260608)'!$A$45:$A$47</c:f>
              <c:numCache>
                <c:formatCode>General</c:formatCode>
                <c:ptCount val="3"/>
                <c:pt idx="0">
                  <c:v>0.70744960000000001</c:v>
                </c:pt>
                <c:pt idx="1">
                  <c:v>0.40333040000000009</c:v>
                </c:pt>
                <c:pt idx="2">
                  <c:v>0</c:v>
                </c:pt>
              </c:numCache>
            </c:numRef>
          </c:xVal>
          <c:yVal>
            <c:numRef>
              <c:f>'interaction plot (20260608)'!$B$45:$B$47</c:f>
              <c:numCache>
                <c:formatCode>General</c:formatCode>
                <c:ptCount val="3"/>
                <c:pt idx="0">
                  <c:v>0.272368096</c:v>
                </c:pt>
                <c:pt idx="1">
                  <c:v>0.15528220400000003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034-469D-9EE5-06BBBABFA6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1726864"/>
        <c:axId val="1273565424"/>
      </c:scatterChart>
      <c:valAx>
        <c:axId val="1311726864"/>
        <c:scaling>
          <c:orientation val="minMax"/>
        </c:scaling>
        <c:delete val="0"/>
        <c:axPos val="t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Qaulity</a:t>
                </a:r>
              </a:p>
            </c:rich>
          </c:tx>
          <c:layout>
            <c:manualLayout>
              <c:xMode val="edge"/>
              <c:yMode val="edge"/>
              <c:x val="0.4853730688685402"/>
              <c:y val="0.933856419807173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high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3565424"/>
        <c:crossesAt val="0.4"/>
        <c:crossBetween val="midCat"/>
      </c:valAx>
      <c:valAx>
        <c:axId val="1273565424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Similarity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17268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2120939960737396"/>
          <c:y val="0.13557972568238005"/>
          <c:w val="0.25556999125109359"/>
          <c:h val="0.1339295088113985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9658898783623088"/>
          <c:y val="5.6745720814710666E-2"/>
          <c:w val="0.75834536036245515"/>
          <c:h val="0.75926640516999511"/>
        </c:manualLayout>
      </c:layout>
      <c:scatterChart>
        <c:scatterStyle val="lineMarker"/>
        <c:varyColors val="0"/>
        <c:ser>
          <c:idx val="0"/>
          <c:order val="0"/>
          <c:tx>
            <c:strRef>
              <c:f>'interaction plot (20260608)'!$B$17</c:f>
              <c:strCache>
                <c:ptCount val="1"/>
                <c:pt idx="0">
                  <c:v>AI Answer</c:v>
                </c:pt>
              </c:strCache>
            </c:strRef>
          </c:tx>
          <c:spPr>
            <a:ln w="19050" cap="flat" cmpd="sng" algn="ctr">
              <a:solidFill>
                <a:schemeClr val="accent4"/>
              </a:solidFill>
              <a:prstDash val="solid"/>
              <a:miter lim="800000"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noFill/>
              </a:ln>
              <a:effectLst/>
            </c:spPr>
          </c:marker>
          <c:dPt>
            <c:idx val="2"/>
            <c:marker>
              <c:symbol val="circle"/>
              <c:size val="5"/>
              <c:spPr>
                <a:solidFill>
                  <a:schemeClr val="accent4"/>
                </a:solidFill>
                <a:ln w="9525">
                  <a:noFill/>
                </a:ln>
                <a:effectLst/>
              </c:spPr>
            </c:marker>
            <c:bubble3D val="0"/>
            <c:spPr>
              <a:ln w="19050" cap="flat" cmpd="sng" algn="ctr">
                <a:solidFill>
                  <a:schemeClr val="accent4"/>
                </a:solidFill>
                <a:prstDash val="dash"/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01-30B6-4741-8A37-290A02E3CD1F}"/>
              </c:ext>
            </c:extLst>
          </c:dPt>
          <c:xVal>
            <c:numRef>
              <c:f>'interaction plot (20260608)'!$A$18:$A$22</c:f>
              <c:numCache>
                <c:formatCode>General</c:formatCode>
                <c:ptCount val="5"/>
                <c:pt idx="0">
                  <c:v>6.2315934999999998</c:v>
                </c:pt>
                <c:pt idx="1">
                  <c:v>5.1203884999999998</c:v>
                </c:pt>
                <c:pt idx="2">
                  <c:v>0</c:v>
                </c:pt>
                <c:pt idx="3">
                  <c:v>7</c:v>
                </c:pt>
                <c:pt idx="4">
                  <c:v>0</c:v>
                </c:pt>
              </c:numCache>
            </c:numRef>
          </c:xVal>
          <c:yVal>
            <c:numRef>
              <c:f>'interaction plot (20260608)'!$B$18:$B$22</c:f>
              <c:numCache>
                <c:formatCode>General</c:formatCode>
                <c:ptCount val="5"/>
                <c:pt idx="0">
                  <c:v>-5.4421707499999999E-2</c:v>
                </c:pt>
                <c:pt idx="1">
                  <c:v>-4.4174824999999862E-3</c:v>
                </c:pt>
                <c:pt idx="2">
                  <c:v>0.22600000000000001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0B6-4741-8A37-290A02E3CD1F}"/>
            </c:ext>
          </c:extLst>
        </c:ser>
        <c:ser>
          <c:idx val="1"/>
          <c:order val="1"/>
          <c:tx>
            <c:strRef>
              <c:f>'interaction plot (20260608)'!$C$17</c:f>
              <c:strCache>
                <c:ptCount val="1"/>
                <c:pt idx="0">
                  <c:v>No Answer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0"/>
            <c:marker>
              <c:symbol val="none"/>
            </c:marker>
            <c:bubble3D val="0"/>
          </c:dPt>
          <c:xVal>
            <c:numRef>
              <c:f>'interaction plot (20260608)'!$A$21:$A$22</c:f>
              <c:numCache>
                <c:formatCode>General</c:formatCode>
                <c:ptCount val="2"/>
                <c:pt idx="0">
                  <c:v>7</c:v>
                </c:pt>
                <c:pt idx="1">
                  <c:v>0</c:v>
                </c:pt>
              </c:numCache>
            </c:numRef>
          </c:xVal>
          <c:yVal>
            <c:numRef>
              <c:f>'interaction plot (20260608)'!$C$21:$C$22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0B6-4741-8A37-290A02E3CD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3614864"/>
        <c:axId val="1273614384"/>
      </c:scatterChart>
      <c:valAx>
        <c:axId val="1273614384"/>
        <c:scaling>
          <c:orientation val="minMax"/>
          <c:max val="0.4"/>
          <c:min val="-0.1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0" i="0" u="none" strike="noStrike" kern="1200" baseline="0" dirty="0">
                    <a:solidFill>
                      <a:prstClr val="black">
                        <a:lumMod val="65000"/>
                        <a:lumOff val="35000"/>
                      </a:prstClr>
                    </a:solidFill>
                  </a:rPr>
                  <a:t>#</a:t>
                </a:r>
                <a:r>
                  <a:rPr lang="zh-CN" altLang="en-US" sz="1800" b="0" i="0" u="none" strike="noStrike" kern="1200" baseline="0" dirty="0">
                    <a:solidFill>
                      <a:prstClr val="black">
                        <a:lumMod val="65000"/>
                        <a:lumOff val="35000"/>
                      </a:prstClr>
                    </a:solidFill>
                  </a:rPr>
                  <a:t> </a:t>
                </a:r>
                <a:r>
                  <a:rPr lang="en-US" sz="1800" b="0" i="0" u="none" strike="noStrike" kern="1200" baseline="0" dirty="0">
                    <a:solidFill>
                      <a:prstClr val="black">
                        <a:lumMod val="65000"/>
                        <a:lumOff val="35000"/>
                      </a:prstClr>
                    </a:solidFill>
                  </a:rPr>
                  <a:t>Human</a:t>
                </a:r>
                <a:r>
                  <a:rPr lang="zh-CN" altLang="en-US" sz="1800" b="0" i="0" u="none" strike="noStrike" kern="1200" baseline="0" dirty="0">
                    <a:solidFill>
                      <a:prstClr val="black">
                        <a:lumMod val="65000"/>
                        <a:lumOff val="35000"/>
                      </a:prstClr>
                    </a:solidFill>
                  </a:rPr>
                  <a:t> </a:t>
                </a:r>
                <a:r>
                  <a:rPr lang="en-US" sz="1800" b="0" i="0" u="none" strike="noStrike" kern="1200" baseline="0" dirty="0">
                    <a:solidFill>
                      <a:prstClr val="black">
                        <a:lumMod val="65000"/>
                        <a:lumOff val="35000"/>
                      </a:prstClr>
                    </a:solidFill>
                  </a:rPr>
                  <a:t>Answer</a:t>
                </a:r>
                <a:r>
                  <a:rPr lang="zh-CN" altLang="en-US" sz="1800" b="0" i="0" u="none" strike="noStrike" kern="1200" baseline="0" dirty="0">
                    <a:solidFill>
                      <a:prstClr val="black">
                        <a:lumMod val="65000"/>
                        <a:lumOff val="35000"/>
                      </a:prstClr>
                    </a:solidFill>
                  </a:rPr>
                  <a:t> </a:t>
                </a:r>
                <a:r>
                  <a:rPr lang="en-US" sz="1800" b="0" i="0" u="none" strike="noStrike" kern="1200" baseline="0" dirty="0">
                    <a:solidFill>
                      <a:prstClr val="black">
                        <a:lumMod val="65000"/>
                        <a:lumOff val="35000"/>
                      </a:prstClr>
                    </a:solidFill>
                  </a:rPr>
                  <a:t>within</a:t>
                </a:r>
                <a:r>
                  <a:rPr lang="zh-CN" altLang="en-US" sz="1800" b="0" i="0" u="none" strike="noStrike" kern="1200" baseline="0" dirty="0">
                    <a:solidFill>
                      <a:prstClr val="black">
                        <a:lumMod val="65000"/>
                        <a:lumOff val="35000"/>
                      </a:prstClr>
                    </a:solidFill>
                  </a:rPr>
                  <a:t> </a:t>
                </a:r>
                <a:r>
                  <a:rPr lang="en-US" sz="1800" b="0" i="0" u="none" strike="noStrike" kern="1200" baseline="0" dirty="0">
                    <a:solidFill>
                      <a:prstClr val="black">
                        <a:lumMod val="65000"/>
                        <a:lumOff val="35000"/>
                      </a:prstClr>
                    </a:solidFill>
                  </a:rPr>
                  <a:t>7</a:t>
                </a:r>
                <a:r>
                  <a:rPr lang="zh-CN" altLang="en-US" sz="1800" b="0" i="0" u="none" strike="noStrike" kern="1200" baseline="0" dirty="0">
                    <a:solidFill>
                      <a:prstClr val="black">
                        <a:lumMod val="65000"/>
                        <a:lumOff val="35000"/>
                      </a:prstClr>
                    </a:solidFill>
                  </a:rPr>
                  <a:t> </a:t>
                </a:r>
                <a:r>
                  <a:rPr lang="en-US" sz="1800" b="0" i="0" u="none" strike="noStrike" kern="1200" baseline="0" dirty="0">
                    <a:solidFill>
                      <a:prstClr val="black">
                        <a:lumMod val="65000"/>
                        <a:lumOff val="35000"/>
                      </a:prstClr>
                    </a:solidFill>
                  </a:rPr>
                  <a:t>days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3614864"/>
        <c:crosses val="autoZero"/>
        <c:crossBetween val="midCat"/>
        <c:majorUnit val="0.2"/>
      </c:valAx>
      <c:valAx>
        <c:axId val="1273614864"/>
        <c:scaling>
          <c:orientation val="minMax"/>
          <c:max val="7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AI</a:t>
                </a:r>
                <a:r>
                  <a:rPr lang="zh-CN"/>
                  <a:t> </a:t>
                </a:r>
                <a:r>
                  <a:rPr lang="en-US"/>
                  <a:t>answer</a:t>
                </a:r>
                <a:r>
                  <a:rPr lang="zh-CN"/>
                  <a:t> </a:t>
                </a:r>
                <a:r>
                  <a:rPr lang="en-US"/>
                  <a:t>Length</a:t>
                </a:r>
              </a:p>
            </c:rich>
          </c:tx>
          <c:layout>
            <c:manualLayout>
              <c:xMode val="edge"/>
              <c:yMode val="edge"/>
              <c:x val="0.37847856559201215"/>
              <c:y val="0.9083909815443875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3614384"/>
        <c:crossesAt val="-0.30000000000000004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9825909791468757"/>
          <c:y val="0.10924970324905096"/>
          <c:w val="0.3334735333390908"/>
          <c:h val="0.1777339068341481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8166413041912891"/>
          <c:y val="4.3874636000693454E-2"/>
          <c:w val="0.76843150800609039"/>
          <c:h val="0.77262652213356342"/>
        </c:manualLayout>
      </c:layout>
      <c:scatterChart>
        <c:scatterStyle val="lineMarker"/>
        <c:varyColors val="0"/>
        <c:ser>
          <c:idx val="0"/>
          <c:order val="0"/>
          <c:tx>
            <c:strRef>
              <c:f>'interaction plot (20260608)'!$B$25</c:f>
              <c:strCache>
                <c:ptCount val="1"/>
                <c:pt idx="0">
                  <c:v>AI Answer</c:v>
                </c:pt>
              </c:strCache>
            </c:strRef>
          </c:tx>
          <c:spPr>
            <a:ln w="19050" cap="rnd">
              <a:solidFill>
                <a:srgbClr val="0F9FD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noFill/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noFill/>
                </a:ln>
                <a:effectLst/>
              </c:spPr>
            </c:marker>
            <c:bubble3D val="0"/>
            <c:spPr>
              <a:ln w="19050" cap="rnd">
                <a:solidFill>
                  <a:srgbClr val="0F9FD5"/>
                </a:solidFill>
                <a:prstDash val="dash"/>
                <a:round/>
              </a:ln>
              <a:effectLst/>
            </c:spPr>
          </c:dPt>
          <c:dPt>
            <c:idx val="1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noFill/>
                </a:ln>
                <a:effectLst/>
              </c:spPr>
            </c:marker>
            <c:bubble3D val="0"/>
            <c:spPr>
              <a:ln w="19050" cap="rnd">
                <a:solidFill>
                  <a:srgbClr val="0F9FD5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9828-FB48-8221-6BEDD331795A}"/>
              </c:ext>
            </c:extLst>
          </c:dPt>
          <c:xVal>
            <c:numRef>
              <c:f>'interaction plot (20260608)'!$A$28:$A$30</c:f>
              <c:numCache>
                <c:formatCode>General</c:formatCode>
                <c:ptCount val="3"/>
                <c:pt idx="0">
                  <c:v>0</c:v>
                </c:pt>
                <c:pt idx="1">
                  <c:v>0.40333040000000009</c:v>
                </c:pt>
                <c:pt idx="2">
                  <c:v>0.70744960000000001</c:v>
                </c:pt>
              </c:numCache>
            </c:numRef>
          </c:xVal>
          <c:yVal>
            <c:numRef>
              <c:f>'interaction plot (20260608)'!$B$28:$B$30</c:f>
              <c:numCache>
                <c:formatCode>General</c:formatCode>
                <c:ptCount val="3"/>
                <c:pt idx="0">
                  <c:v>-0.12</c:v>
                </c:pt>
                <c:pt idx="1">
                  <c:v>2.1165640000000013E-2</c:v>
                </c:pt>
                <c:pt idx="2">
                  <c:v>0.12760736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E37-467B-996E-07C785599A61}"/>
            </c:ext>
          </c:extLst>
        </c:ser>
        <c:ser>
          <c:idx val="1"/>
          <c:order val="1"/>
          <c:tx>
            <c:strRef>
              <c:f>'interaction plot (20260608)'!$C$25</c:f>
              <c:strCache>
                <c:ptCount val="1"/>
                <c:pt idx="0">
                  <c:v>No Answer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0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2-0DFC-4439-9F03-18134A406378}"/>
              </c:ext>
            </c:extLst>
          </c:dPt>
          <c:xVal>
            <c:numRef>
              <c:f>'interaction plot (20260608)'!$A$26:$A$27</c:f>
              <c:numCache>
                <c:formatCode>General</c:formatCode>
                <c:ptCount val="2"/>
                <c:pt idx="0">
                  <c:v>0.8</c:v>
                </c:pt>
                <c:pt idx="1">
                  <c:v>0</c:v>
                </c:pt>
              </c:numCache>
            </c:numRef>
          </c:xVal>
          <c:yVal>
            <c:numRef>
              <c:f>'interaction plot (20260608)'!$C$26:$C$27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E37-467B-996E-07C785599A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3614864"/>
        <c:axId val="1273614384"/>
      </c:scatterChart>
      <c:valAx>
        <c:axId val="1273614384"/>
        <c:scaling>
          <c:orientation val="minMax"/>
          <c:min val="-0.2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0" i="0" u="none" strike="noStrike" kern="1200" baseline="0" dirty="0">
                    <a:solidFill>
                      <a:prstClr val="black">
                        <a:lumMod val="65000"/>
                        <a:lumOff val="35000"/>
                      </a:prstClr>
                    </a:solidFill>
                  </a:rPr>
                  <a:t>First</a:t>
                </a:r>
                <a:r>
                  <a:rPr lang="zh-CN" altLang="en-US" sz="1800" b="0" i="0" u="none" strike="noStrike" kern="1200" baseline="0" dirty="0">
                    <a:solidFill>
                      <a:prstClr val="black">
                        <a:lumMod val="65000"/>
                        <a:lumOff val="35000"/>
                      </a:prstClr>
                    </a:solidFill>
                  </a:rPr>
                  <a:t> </a:t>
                </a:r>
                <a:r>
                  <a:rPr lang="en-US" sz="1800" b="0" i="0" u="none" strike="noStrike" kern="1200" baseline="0" dirty="0">
                    <a:solidFill>
                      <a:prstClr val="black">
                        <a:lumMod val="65000"/>
                        <a:lumOff val="35000"/>
                      </a:prstClr>
                    </a:solidFill>
                  </a:rPr>
                  <a:t>Human</a:t>
                </a:r>
                <a:r>
                  <a:rPr lang="zh-CN" altLang="en-US" sz="1800" b="0" i="0" u="none" strike="noStrike" kern="1200" baseline="0" dirty="0">
                    <a:solidFill>
                      <a:prstClr val="black">
                        <a:lumMod val="65000"/>
                        <a:lumOff val="35000"/>
                      </a:prstClr>
                    </a:solidFill>
                  </a:rPr>
                  <a:t> </a:t>
                </a:r>
                <a:r>
                  <a:rPr lang="en-US" sz="1800" b="0" i="0" u="none" strike="noStrike" kern="1200" baseline="0" dirty="0">
                    <a:solidFill>
                      <a:prstClr val="black">
                        <a:lumMod val="65000"/>
                        <a:lumOff val="35000"/>
                      </a:prstClr>
                    </a:solidFill>
                  </a:rPr>
                  <a:t>Answer</a:t>
                </a:r>
                <a:r>
                  <a:rPr lang="zh-CN" altLang="en-US" sz="1800" b="0" i="0" u="none" strike="noStrike" kern="1200" baseline="0" dirty="0">
                    <a:solidFill>
                      <a:prstClr val="black">
                        <a:lumMod val="65000"/>
                        <a:lumOff val="35000"/>
                      </a:prstClr>
                    </a:solidFill>
                  </a:rPr>
                  <a:t> </a:t>
                </a:r>
                <a:r>
                  <a:rPr lang="en-US" sz="1800" b="0" i="0" u="none" strike="noStrike" kern="1200" baseline="0" dirty="0">
                    <a:solidFill>
                      <a:prstClr val="black">
                        <a:lumMod val="65000"/>
                        <a:lumOff val="35000"/>
                      </a:prstClr>
                    </a:solidFill>
                  </a:rPr>
                  <a:t>Quality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3614864"/>
        <c:crosses val="autoZero"/>
        <c:crossBetween val="midCat"/>
        <c:majorUnit val="0.2"/>
      </c:valAx>
      <c:valAx>
        <c:axId val="1273614864"/>
        <c:scaling>
          <c:orientation val="minMax"/>
          <c:max val="0.8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AI</a:t>
                </a:r>
                <a:r>
                  <a:rPr lang="zh-CN"/>
                  <a:t> </a:t>
                </a:r>
                <a:r>
                  <a:rPr lang="en-US"/>
                  <a:t>answer</a:t>
                </a:r>
                <a:r>
                  <a:rPr lang="zh-CN"/>
                  <a:t> </a:t>
                </a:r>
                <a:r>
                  <a:rPr lang="en-US"/>
                  <a:t>Quality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3614384"/>
        <c:crossesAt val="-0.30000000000000004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9665699735930589"/>
          <c:y val="0.60974883273512892"/>
          <c:w val="0.35334525013277662"/>
          <c:h val="0.1657855365777049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187270341207349"/>
          <c:y val="5.0925925925925923E-2"/>
          <c:w val="0.83153862523941269"/>
          <c:h val="0.83704432779235927"/>
        </c:manualLayout>
      </c:layout>
      <c:scatterChart>
        <c:scatterStyle val="lineMarker"/>
        <c:varyColors val="0"/>
        <c:ser>
          <c:idx val="1"/>
          <c:order val="0"/>
          <c:tx>
            <c:strRef>
              <c:f>Sheet3!$C$10</c:f>
              <c:strCache>
                <c:ptCount val="1"/>
                <c:pt idx="0">
                  <c:v>1st AI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2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2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6EBA-45F6-8FF0-8DF1CF18678A}"/>
              </c:ext>
            </c:extLst>
          </c:dPt>
          <c:xVal>
            <c:numRef>
              <c:f>Sheet3!$A$11:$A$15</c:f>
              <c:numCache>
                <c:formatCode>General</c:formatCode>
                <c:ptCount val="5"/>
                <c:pt idx="0">
                  <c:v>6.2315934999999998</c:v>
                </c:pt>
                <c:pt idx="1">
                  <c:v>5.1203884999999998</c:v>
                </c:pt>
                <c:pt idx="2">
                  <c:v>0</c:v>
                </c:pt>
                <c:pt idx="3">
                  <c:v>2.1058599999999998</c:v>
                </c:pt>
                <c:pt idx="4">
                  <c:v>4.780926</c:v>
                </c:pt>
              </c:numCache>
            </c:numRef>
          </c:xVal>
          <c:yVal>
            <c:numRef>
              <c:f>Sheet3!$C$11:$C$15</c:f>
              <c:numCache>
                <c:formatCode>General</c:formatCode>
                <c:ptCount val="5"/>
                <c:pt idx="0">
                  <c:v>0.57800933300000001</c:v>
                </c:pt>
                <c:pt idx="1">
                  <c:v>0.66912814300000001</c:v>
                </c:pt>
                <c:pt idx="2">
                  <c:v>1.089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EBA-45F6-8FF0-8DF1CF18678A}"/>
            </c:ext>
          </c:extLst>
        </c:ser>
        <c:ser>
          <c:idx val="2"/>
          <c:order val="1"/>
          <c:tx>
            <c:strRef>
              <c:f>Sheet3!$D$10</c:f>
              <c:strCache>
                <c:ptCount val="1"/>
                <c:pt idx="0">
                  <c:v>1st Human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Pt>
            <c:idx val="3"/>
            <c:marker>
              <c:symbol val="circle"/>
              <c:size val="5"/>
              <c:spPr>
                <a:solidFill>
                  <a:schemeClr val="accent3"/>
                </a:solidFill>
                <a:ln w="9525">
                  <a:solidFill>
                    <a:schemeClr val="accent3"/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3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6EBA-45F6-8FF0-8DF1CF18678A}"/>
              </c:ext>
            </c:extLst>
          </c:dPt>
          <c:xVal>
            <c:numRef>
              <c:f>Sheet3!$A$11:$A$15</c:f>
              <c:numCache>
                <c:formatCode>General</c:formatCode>
                <c:ptCount val="5"/>
                <c:pt idx="0">
                  <c:v>6.2315934999999998</c:v>
                </c:pt>
                <c:pt idx="1">
                  <c:v>5.1203884999999998</c:v>
                </c:pt>
                <c:pt idx="2">
                  <c:v>0</c:v>
                </c:pt>
                <c:pt idx="3">
                  <c:v>2.1058599999999998</c:v>
                </c:pt>
                <c:pt idx="4">
                  <c:v>4.780926</c:v>
                </c:pt>
              </c:numCache>
            </c:numRef>
          </c:xVal>
          <c:yVal>
            <c:numRef>
              <c:f>Sheet3!$D$11:$D$15</c:f>
              <c:numCache>
                <c:formatCode>General</c:formatCode>
                <c:ptCount val="5"/>
                <c:pt idx="2">
                  <c:v>0.34200000000000003</c:v>
                </c:pt>
                <c:pt idx="3">
                  <c:v>0.30830624000000001</c:v>
                </c:pt>
                <c:pt idx="4">
                  <c:v>0.26550518400000001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EBA-45F6-8FF0-8DF1CF18678A}"/>
            </c:ext>
          </c:extLst>
        </c:ser>
        <c:ser>
          <c:idx val="0"/>
          <c:order val="2"/>
          <c:tx>
            <c:strRef>
              <c:f>Sheet3!$B$10</c:f>
              <c:strCache>
                <c:ptCount val="1"/>
                <c:pt idx="0">
                  <c:v>No Answer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Sheet3!$A$11:$A$15</c:f>
              <c:numCache>
                <c:formatCode>General</c:formatCode>
                <c:ptCount val="5"/>
                <c:pt idx="0">
                  <c:v>6.2315934999999998</c:v>
                </c:pt>
                <c:pt idx="1">
                  <c:v>5.1203884999999998</c:v>
                </c:pt>
                <c:pt idx="2">
                  <c:v>0</c:v>
                </c:pt>
                <c:pt idx="3">
                  <c:v>2.1058599999999998</c:v>
                </c:pt>
                <c:pt idx="4">
                  <c:v>4.780926</c:v>
                </c:pt>
              </c:numCache>
            </c:numRef>
          </c:xVal>
          <c:yVal>
            <c:numRef>
              <c:f>Sheet3!$B$11:$B$15</c:f>
              <c:numCache>
                <c:formatCode>General</c:formatCode>
                <c:ptCount val="5"/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EBA-45F6-8FF0-8DF1CF1867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8838144"/>
        <c:axId val="598837664"/>
      </c:scatterChart>
      <c:valAx>
        <c:axId val="598838144"/>
        <c:scaling>
          <c:orientation val="minMax"/>
          <c:max val="7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Answer</a:t>
                </a:r>
                <a:r>
                  <a:rPr lang="en-US" baseline="0"/>
                  <a:t> Length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8837664"/>
        <c:crosses val="autoZero"/>
        <c:crossBetween val="midCat"/>
        <c:majorUnit val="1"/>
      </c:valAx>
      <c:valAx>
        <c:axId val="598837664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</a:t>
                </a:r>
                <a:r>
                  <a:rPr lang="en-US" baseline="0"/>
                  <a:t> Answer in 7 days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88381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021638646520536"/>
          <c:y val="0.58457290494938141"/>
          <c:w val="0.27614062715844728"/>
          <c:h val="0.2262736949547973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187270341207349"/>
          <c:y val="5.0925925925925923E-2"/>
          <c:w val="0.57568282912004431"/>
          <c:h val="0.83704432779235927"/>
        </c:manualLayout>
      </c:layout>
      <c:scatterChart>
        <c:scatterStyle val="lineMarker"/>
        <c:varyColors val="0"/>
        <c:ser>
          <c:idx val="1"/>
          <c:order val="0"/>
          <c:tx>
            <c:strRef>
              <c:f>Sheet3!$C$10</c:f>
              <c:strCache>
                <c:ptCount val="1"/>
                <c:pt idx="0">
                  <c:v>1st AI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2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2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0975-4AAA-9DDD-314EB344758D}"/>
              </c:ext>
            </c:extLst>
          </c:dPt>
          <c:xVal>
            <c:numRef>
              <c:f>Sheet3!$A$11:$A$15</c:f>
              <c:numCache>
                <c:formatCode>General</c:formatCode>
                <c:ptCount val="5"/>
                <c:pt idx="0">
                  <c:v>6.2315934999999998</c:v>
                </c:pt>
                <c:pt idx="1">
                  <c:v>5.1203884999999998</c:v>
                </c:pt>
                <c:pt idx="2">
                  <c:v>0</c:v>
                </c:pt>
                <c:pt idx="3">
                  <c:v>2.1058599999999998</c:v>
                </c:pt>
                <c:pt idx="4">
                  <c:v>4.780926</c:v>
                </c:pt>
              </c:numCache>
            </c:numRef>
          </c:xVal>
          <c:yVal>
            <c:numRef>
              <c:f>Sheet3!$I$11:$I$15</c:f>
              <c:numCache>
                <c:formatCode>General</c:formatCode>
                <c:ptCount val="5"/>
                <c:pt idx="0">
                  <c:v>5.6384604220000005</c:v>
                </c:pt>
                <c:pt idx="1">
                  <c:v>5.8473669620000006</c:v>
                </c:pt>
                <c:pt idx="2">
                  <c:v>6.8100000000000005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975-4AAA-9DDD-314EB344758D}"/>
            </c:ext>
          </c:extLst>
        </c:ser>
        <c:ser>
          <c:idx val="2"/>
          <c:order val="1"/>
          <c:tx>
            <c:strRef>
              <c:f>Sheet3!$D$10</c:f>
              <c:strCache>
                <c:ptCount val="1"/>
                <c:pt idx="0">
                  <c:v>1st Human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Pt>
            <c:idx val="3"/>
            <c:marker>
              <c:symbol val="circle"/>
              <c:size val="5"/>
              <c:spPr>
                <a:solidFill>
                  <a:schemeClr val="accent3"/>
                </a:solidFill>
                <a:ln w="9525">
                  <a:solidFill>
                    <a:schemeClr val="accent3"/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3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0975-4AAA-9DDD-314EB344758D}"/>
              </c:ext>
            </c:extLst>
          </c:dPt>
          <c:xVal>
            <c:numRef>
              <c:f>Sheet3!$A$11:$A$15</c:f>
              <c:numCache>
                <c:formatCode>General</c:formatCode>
                <c:ptCount val="5"/>
                <c:pt idx="0">
                  <c:v>6.2315934999999998</c:v>
                </c:pt>
                <c:pt idx="1">
                  <c:v>5.1203884999999998</c:v>
                </c:pt>
                <c:pt idx="2">
                  <c:v>0</c:v>
                </c:pt>
                <c:pt idx="3">
                  <c:v>2.1058599999999998</c:v>
                </c:pt>
                <c:pt idx="4">
                  <c:v>4.780926</c:v>
                </c:pt>
              </c:numCache>
            </c:numRef>
          </c:xVal>
          <c:yVal>
            <c:numRef>
              <c:f>Sheet3!$J$11:$J$15</c:f>
              <c:numCache>
                <c:formatCode>General</c:formatCode>
                <c:ptCount val="5"/>
                <c:pt idx="2">
                  <c:v>5.4610000000000003</c:v>
                </c:pt>
                <c:pt idx="3">
                  <c:v>5.0650983200000006</c:v>
                </c:pt>
                <c:pt idx="4">
                  <c:v>4.5621859120000003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975-4AAA-9DDD-314EB344758D}"/>
            </c:ext>
          </c:extLst>
        </c:ser>
        <c:ser>
          <c:idx val="0"/>
          <c:order val="2"/>
          <c:tx>
            <c:strRef>
              <c:f>Sheet3!$B$10</c:f>
              <c:strCache>
                <c:ptCount val="1"/>
                <c:pt idx="0">
                  <c:v>No Answer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Sheet3!$A$11:$A$15</c:f>
              <c:numCache>
                <c:formatCode>General</c:formatCode>
                <c:ptCount val="5"/>
                <c:pt idx="0">
                  <c:v>6.2315934999999998</c:v>
                </c:pt>
                <c:pt idx="1">
                  <c:v>5.1203884999999998</c:v>
                </c:pt>
                <c:pt idx="2">
                  <c:v>0</c:v>
                </c:pt>
                <c:pt idx="3">
                  <c:v>2.1058599999999998</c:v>
                </c:pt>
                <c:pt idx="4">
                  <c:v>4.780926</c:v>
                </c:pt>
              </c:numCache>
            </c:numRef>
          </c:xVal>
          <c:yVal>
            <c:numRef>
              <c:f>Sheet3!$B$11:$B$15</c:f>
              <c:numCache>
                <c:formatCode>General</c:formatCode>
                <c:ptCount val="5"/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0975-4AAA-9DDD-314EB34475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8838144"/>
        <c:axId val="598837664"/>
      </c:scatterChart>
      <c:valAx>
        <c:axId val="598838144"/>
        <c:scaling>
          <c:orientation val="minMax"/>
          <c:max val="7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Answer</a:t>
                </a:r>
                <a:r>
                  <a:rPr lang="en-US" baseline="0"/>
                  <a:t> Length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8837664"/>
        <c:crosses val="autoZero"/>
        <c:crossBetween val="midCat"/>
        <c:majorUnit val="1"/>
      </c:valAx>
      <c:valAx>
        <c:axId val="598837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</a:t>
                </a:r>
                <a:r>
                  <a:rPr lang="en-US" baseline="0"/>
                  <a:t> Answer in 7 days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88381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0937118386517473"/>
          <c:y val="0.35243000874890645"/>
          <c:w val="0.27614062715844728"/>
          <c:h val="0.2262736949547973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606826111288307"/>
          <c:y val="3.8477365008348238E-2"/>
          <c:w val="0.82366786232425349"/>
          <c:h val="0.80648226543267343"/>
        </c:manualLayout>
      </c:layout>
      <c:scatterChart>
        <c:scatterStyle val="lineMarker"/>
        <c:varyColors val="0"/>
        <c:ser>
          <c:idx val="3"/>
          <c:order val="0"/>
          <c:tx>
            <c:strRef>
              <c:f>'interaction plot'!$B$34</c:f>
              <c:strCache>
                <c:ptCount val="1"/>
                <c:pt idx="0">
                  <c:v>AI Answer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Pt>
            <c:idx val="2"/>
            <c:marker>
              <c:symbol val="circle"/>
              <c:size val="5"/>
              <c:spPr>
                <a:solidFill>
                  <a:schemeClr val="accent4"/>
                </a:solidFill>
                <a:ln w="9525">
                  <a:solidFill>
                    <a:schemeClr val="accent4"/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4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0-5C22-4334-8332-2AEDB2D2C033}"/>
              </c:ext>
            </c:extLst>
          </c:dPt>
          <c:xVal>
            <c:numRef>
              <c:f>'interaction plot'!$A$35:$A$40</c:f>
              <c:numCache>
                <c:formatCode>General</c:formatCode>
                <c:ptCount val="6"/>
                <c:pt idx="0">
                  <c:v>5.1203884999999998</c:v>
                </c:pt>
                <c:pt idx="1">
                  <c:v>6.2315934999999998</c:v>
                </c:pt>
                <c:pt idx="2">
                  <c:v>0</c:v>
                </c:pt>
                <c:pt idx="3">
                  <c:v>2.1058599999999998</c:v>
                </c:pt>
                <c:pt idx="4">
                  <c:v>4.780926</c:v>
                </c:pt>
                <c:pt idx="5">
                  <c:v>0</c:v>
                </c:pt>
              </c:numCache>
            </c:numRef>
          </c:xVal>
          <c:yVal>
            <c:numRef>
              <c:f>'interaction plot'!$B$35:$B$39</c:f>
              <c:numCache>
                <c:formatCode>General</c:formatCode>
                <c:ptCount val="5"/>
                <c:pt idx="0">
                  <c:v>0.25388736600000006</c:v>
                </c:pt>
                <c:pt idx="1">
                  <c:v>0.16054614600000006</c:v>
                </c:pt>
                <c:pt idx="2">
                  <c:v>0.68400000000000005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57C-4F6F-84F2-4AE63754C4AD}"/>
            </c:ext>
          </c:extLst>
        </c:ser>
        <c:ser>
          <c:idx val="0"/>
          <c:order val="1"/>
          <c:tx>
            <c:strRef>
              <c:f>'interaction plot'!$C$34</c:f>
              <c:strCache>
                <c:ptCount val="1"/>
                <c:pt idx="0">
                  <c:v>Human Answer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5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5C22-4334-8332-2AEDB2D2C033}"/>
              </c:ext>
            </c:extLst>
          </c:dPt>
          <c:xVal>
            <c:numRef>
              <c:f>'interaction plot'!$A$35:$A$40</c:f>
              <c:numCache>
                <c:formatCode>General</c:formatCode>
                <c:ptCount val="6"/>
                <c:pt idx="0">
                  <c:v>5.1203884999999998</c:v>
                </c:pt>
                <c:pt idx="1">
                  <c:v>6.2315934999999998</c:v>
                </c:pt>
                <c:pt idx="2">
                  <c:v>0</c:v>
                </c:pt>
                <c:pt idx="3">
                  <c:v>2.1058599999999998</c:v>
                </c:pt>
                <c:pt idx="4">
                  <c:v>4.780926</c:v>
                </c:pt>
                <c:pt idx="5">
                  <c:v>0</c:v>
                </c:pt>
              </c:numCache>
            </c:numRef>
          </c:xVal>
          <c:yVal>
            <c:numRef>
              <c:f>'interaction plot'!$C$35:$C$40</c:f>
              <c:numCache>
                <c:formatCode>General</c:formatCode>
                <c:ptCount val="6"/>
                <c:pt idx="3">
                  <c:v>-5.4752359999999993E-2</c:v>
                </c:pt>
                <c:pt idx="4">
                  <c:v>-0.124304076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557C-4F6F-84F2-4AE63754C4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3614864"/>
        <c:axId val="1273614384"/>
      </c:scatterChart>
      <c:valAx>
        <c:axId val="1273614384"/>
        <c:scaling>
          <c:orientation val="minMax"/>
          <c:max val="1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7 day #Answer</a:t>
                </a:r>
              </a:p>
            </c:rich>
          </c:tx>
          <c:layout>
            <c:manualLayout>
              <c:xMode val="edge"/>
              <c:yMode val="edge"/>
              <c:x val="2.202964591897557E-2"/>
              <c:y val="0.3310174384816617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3614864"/>
        <c:crosses val="autoZero"/>
        <c:crossBetween val="midCat"/>
      </c:valAx>
      <c:valAx>
        <c:axId val="1273614864"/>
        <c:scaling>
          <c:orientation val="minMax"/>
          <c:max val="7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Answer Length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3614384"/>
        <c:crossesAt val="-0.2"/>
        <c:crossBetween val="midCat"/>
        <c:majorUnit val="1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0671602810687939"/>
          <c:y val="8.0683756823053135E-2"/>
          <c:w val="0.23270244561593784"/>
          <c:h val="0.1180563780157357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'interaction plot'!$C$34</c:f>
              <c:strCache>
                <c:ptCount val="1"/>
                <c:pt idx="0">
                  <c:v>Human Answer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'interaction plot'!$A$45:$A$46</c:f>
              <c:numCache>
                <c:formatCode>General</c:formatCode>
                <c:ptCount val="2"/>
                <c:pt idx="0">
                  <c:v>0.25836000000000003</c:v>
                </c:pt>
                <c:pt idx="1">
                  <c:v>0.63216220000000001</c:v>
                </c:pt>
              </c:numCache>
            </c:numRef>
          </c:xVal>
          <c:yVal>
            <c:numRef>
              <c:f>'interaction plot'!$C$45:$C$46</c:f>
              <c:numCache>
                <c:formatCode>General</c:formatCode>
                <c:ptCount val="2"/>
                <c:pt idx="0">
                  <c:v>0.12762984000000002</c:v>
                </c:pt>
                <c:pt idx="1">
                  <c:v>0.31228812680000001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8E4-4895-8FBF-6774C9D132F7}"/>
            </c:ext>
          </c:extLst>
        </c:ser>
        <c:ser>
          <c:idx val="2"/>
          <c:order val="1"/>
          <c:tx>
            <c:strRef>
              <c:f>'interaction plot'!$B$34</c:f>
              <c:strCache>
                <c:ptCount val="1"/>
                <c:pt idx="0">
                  <c:v>AI Answer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'interaction plot'!$A$43:$A$44</c:f>
              <c:numCache>
                <c:formatCode>General</c:formatCode>
                <c:ptCount val="2"/>
                <c:pt idx="0">
                  <c:v>0.40333040000000009</c:v>
                </c:pt>
                <c:pt idx="1">
                  <c:v>0.70744960000000001</c:v>
                </c:pt>
              </c:numCache>
            </c:numRef>
          </c:xVal>
          <c:yVal>
            <c:numRef>
              <c:f>'interaction plot'!$B$43:$B$44</c:f>
              <c:numCache>
                <c:formatCode>General</c:formatCode>
                <c:ptCount val="2"/>
                <c:pt idx="0">
                  <c:v>0.15528220400000003</c:v>
                </c:pt>
                <c:pt idx="1">
                  <c:v>0.272368096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8E4-4895-8FBF-6774C9D132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1726864"/>
        <c:axId val="1273565424"/>
      </c:scatterChart>
      <c:valAx>
        <c:axId val="1311726864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Quality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3565424"/>
        <c:crossesAt val="0.5"/>
        <c:crossBetween val="midCat"/>
      </c:valAx>
      <c:valAx>
        <c:axId val="1273565424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Similarity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1726864"/>
        <c:crosses val="autoZero"/>
        <c:crossBetween val="midCat"/>
        <c:majorUnit val="0.1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831647104153175"/>
          <c:y val="4.3437866128041271E-2"/>
          <c:w val="0.8211485468131059"/>
          <c:h val="0.85308113459581947"/>
        </c:manualLayout>
      </c:layout>
      <c:scatterChart>
        <c:scatterStyle val="lineMarker"/>
        <c:varyColors val="0"/>
        <c:ser>
          <c:idx val="0"/>
          <c:order val="0"/>
          <c:tx>
            <c:strRef>
              <c:f>'interaction plot'!$B$16</c:f>
              <c:strCache>
                <c:ptCount val="1"/>
                <c:pt idx="0">
                  <c:v>AI Answer</c:v>
                </c:pt>
              </c:strCache>
            </c:strRef>
          </c:tx>
          <c:spPr>
            <a:ln w="19050" cap="flat" cmpd="sng" algn="ctr">
              <a:solidFill>
                <a:schemeClr val="accent4"/>
              </a:solidFill>
              <a:prstDash val="solid"/>
              <a:miter lim="800000"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2"/>
            <c:marker>
              <c:symbol val="circle"/>
              <c:size val="5"/>
              <c:spPr>
                <a:solidFill>
                  <a:schemeClr val="accent4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19050" cap="flat" cmpd="sng" algn="ctr">
                <a:solidFill>
                  <a:schemeClr val="accent4"/>
                </a:solidFill>
                <a:prstDash val="dash"/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00-7104-40F8-95BE-8E1EEF518DD6}"/>
              </c:ext>
            </c:extLst>
          </c:dPt>
          <c:xVal>
            <c:numRef>
              <c:f>'interaction plot'!$A$17:$A$19</c:f>
              <c:numCache>
                <c:formatCode>General</c:formatCode>
                <c:ptCount val="3"/>
                <c:pt idx="0">
                  <c:v>6.2315934999999998</c:v>
                </c:pt>
                <c:pt idx="1">
                  <c:v>5.1203884999999998</c:v>
                </c:pt>
                <c:pt idx="2">
                  <c:v>0</c:v>
                </c:pt>
              </c:numCache>
            </c:numRef>
          </c:xVal>
          <c:yVal>
            <c:numRef>
              <c:f>'interaction plot'!$B$17:$B$19</c:f>
              <c:numCache>
                <c:formatCode>General</c:formatCode>
                <c:ptCount val="3"/>
                <c:pt idx="0">
                  <c:v>-5.4421707499999999E-2</c:v>
                </c:pt>
                <c:pt idx="1">
                  <c:v>-4.4174824999999862E-3</c:v>
                </c:pt>
                <c:pt idx="2">
                  <c:v>0.22600000000000001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85A-4607-8931-2D78CBA2F14B}"/>
            </c:ext>
          </c:extLst>
        </c:ser>
        <c:ser>
          <c:idx val="1"/>
          <c:order val="1"/>
          <c:tx>
            <c:strRef>
              <c:f>'interaction plot'!$C$16</c:f>
              <c:strCache>
                <c:ptCount val="1"/>
                <c:pt idx="0">
                  <c:v>No Answer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'interaction plot'!$A$17:$A$19</c:f>
              <c:numCache>
                <c:formatCode>General</c:formatCode>
                <c:ptCount val="3"/>
                <c:pt idx="0">
                  <c:v>6.2315934999999998</c:v>
                </c:pt>
                <c:pt idx="1">
                  <c:v>5.1203884999999998</c:v>
                </c:pt>
                <c:pt idx="2">
                  <c:v>0</c:v>
                </c:pt>
              </c:numCache>
            </c:numRef>
          </c:xVal>
          <c:yVal>
            <c:numRef>
              <c:f>'interaction plot'!$C$17:$C$19</c:f>
              <c:numCache>
                <c:formatCode>General</c:formatCode>
                <c:ptCount val="3"/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85A-4607-8931-2D78CBA2F1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3614864"/>
        <c:axId val="1273614384"/>
      </c:scatterChart>
      <c:valAx>
        <c:axId val="1273614384"/>
        <c:scaling>
          <c:orientation val="minMax"/>
          <c:max val="0.4"/>
          <c:min val="-0.2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#answer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3614864"/>
        <c:crosses val="autoZero"/>
        <c:crossBetween val="midCat"/>
        <c:majorUnit val="0.2"/>
      </c:valAx>
      <c:valAx>
        <c:axId val="12736148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Length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3614384"/>
        <c:crossesAt val="-0.30000000000000004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35166708695010179"/>
          <c:y val="0.10165455671610976"/>
          <c:w val="0.18846405449128323"/>
          <c:h val="0.1332762038849683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'interaction plot'!$B$23</c:f>
              <c:strCache>
                <c:ptCount val="1"/>
                <c:pt idx="0">
                  <c:v>AI Answer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'interaction plot'!$A$24:$A$27</c:f>
              <c:numCache>
                <c:formatCode>General</c:formatCode>
                <c:ptCount val="4"/>
                <c:pt idx="0">
                  <c:v>6.2315934999999998</c:v>
                </c:pt>
                <c:pt idx="1">
                  <c:v>5.1203884999999998</c:v>
                </c:pt>
                <c:pt idx="2">
                  <c:v>0</c:v>
                </c:pt>
                <c:pt idx="3">
                  <c:v>0</c:v>
                </c:pt>
              </c:numCache>
            </c:numRef>
          </c:xVal>
          <c:yVal>
            <c:numRef>
              <c:f>'interaction plot'!$B$24:$B$27</c:f>
              <c:numCache>
                <c:formatCode>General</c:formatCode>
                <c:ptCount val="4"/>
                <c:pt idx="0">
                  <c:v>-0.30157172450000003</c:v>
                </c:pt>
                <c:pt idx="1">
                  <c:v>-4.9328189499999953E-2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AC9-F64E-B7E3-49212B2D3212}"/>
            </c:ext>
          </c:extLst>
        </c:ser>
        <c:ser>
          <c:idx val="1"/>
          <c:order val="1"/>
          <c:tx>
            <c:strRef>
              <c:f>'interaction plot'!$C$23</c:f>
              <c:strCache>
                <c:ptCount val="1"/>
                <c:pt idx="0">
                  <c:v>Human Answer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'interaction plot'!$A$24:$A$27</c:f>
              <c:numCache>
                <c:formatCode>General</c:formatCode>
                <c:ptCount val="4"/>
                <c:pt idx="0">
                  <c:v>6.2315934999999998</c:v>
                </c:pt>
                <c:pt idx="1">
                  <c:v>5.1203884999999998</c:v>
                </c:pt>
                <c:pt idx="2">
                  <c:v>0</c:v>
                </c:pt>
                <c:pt idx="3">
                  <c:v>0</c:v>
                </c:pt>
              </c:numCache>
            </c:numRef>
          </c:xVal>
          <c:yVal>
            <c:numRef>
              <c:f>'interaction plot'!$C$24:$C$27</c:f>
              <c:numCache>
                <c:formatCode>General</c:formatCode>
                <c:ptCount val="4"/>
                <c:pt idx="2">
                  <c:v>0</c:v>
                </c:pt>
                <c:pt idx="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AC9-F64E-B7E3-49212B2D32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3614864"/>
        <c:axId val="1273614384"/>
      </c:scatterChart>
      <c:valAx>
        <c:axId val="127361438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#answer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3614864"/>
        <c:crosses val="autoZero"/>
        <c:crossBetween val="midCat"/>
      </c:valAx>
      <c:valAx>
        <c:axId val="12736148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Length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3614384"/>
        <c:crossesAt val="-0.30000000000000004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4.xml"/><Relationship Id="rId5" Type="http://schemas.openxmlformats.org/officeDocument/2006/relationships/image" Target="../media/image2.png"/><Relationship Id="rId4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0.xml"/><Relationship Id="rId5" Type="http://schemas.openxmlformats.org/officeDocument/2006/relationships/image" Target="../media/image2.png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34</xdr:row>
      <xdr:rowOff>0</xdr:rowOff>
    </xdr:from>
    <xdr:to>
      <xdr:col>9</xdr:col>
      <xdr:colOff>435428</xdr:colOff>
      <xdr:row>50</xdr:row>
      <xdr:rowOff>7257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F574B32-3949-481C-8BEC-52FABF1018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33</xdr:row>
      <xdr:rowOff>192314</xdr:rowOff>
    </xdr:from>
    <xdr:to>
      <xdr:col>17</xdr:col>
      <xdr:colOff>544286</xdr:colOff>
      <xdr:row>50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82B1A89-671C-4F64-B779-D8C23FBC2A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13</xdr:row>
      <xdr:rowOff>50800</xdr:rowOff>
    </xdr:from>
    <xdr:to>
      <xdr:col>9</xdr:col>
      <xdr:colOff>435428</xdr:colOff>
      <xdr:row>32</xdr:row>
      <xdr:rowOff>7257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F70A5B8-39A6-439C-8F07-672ACD312D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18</xdr:col>
      <xdr:colOff>449867</xdr:colOff>
      <xdr:row>28</xdr:row>
      <xdr:rowOff>143783</xdr:rowOff>
    </xdr:from>
    <xdr:to>
      <xdr:col>37</xdr:col>
      <xdr:colOff>193542</xdr:colOff>
      <xdr:row>49</xdr:row>
      <xdr:rowOff>163287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D765B9C-2DFD-422E-9BED-D062444E6C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191767" y="5020583"/>
          <a:ext cx="12532575" cy="4286703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304800</xdr:colOff>
      <xdr:row>51</xdr:row>
      <xdr:rowOff>101600</xdr:rowOff>
    </xdr:to>
    <xdr:sp macro="" textlink="">
      <xdr:nvSpPr>
        <xdr:cNvPr id="6" name="AutoShape 1" descr="Image preview">
          <a:extLst>
            <a:ext uri="{FF2B5EF4-FFF2-40B4-BE49-F238E27FC236}">
              <a16:creationId xmlns:a16="http://schemas.microsoft.com/office/drawing/2014/main" id="{71C9965A-E9D7-4B7E-A4A0-5BDF820043EE}"/>
            </a:ext>
          </a:extLst>
        </xdr:cNvPr>
        <xdr:cNvSpPr>
          <a:spLocks noChangeAspect="1" noChangeArrowheads="1"/>
        </xdr:cNvSpPr>
      </xdr:nvSpPr>
      <xdr:spPr bwMode="auto">
        <a:xfrm>
          <a:off x="3505200" y="975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304800</xdr:colOff>
      <xdr:row>51</xdr:row>
      <xdr:rowOff>101600</xdr:rowOff>
    </xdr:to>
    <xdr:sp macro="" textlink="">
      <xdr:nvSpPr>
        <xdr:cNvPr id="7" name="AutoShape 2" descr="Image preview">
          <a:extLst>
            <a:ext uri="{FF2B5EF4-FFF2-40B4-BE49-F238E27FC236}">
              <a16:creationId xmlns:a16="http://schemas.microsoft.com/office/drawing/2014/main" id="{EC3CF81E-DF6A-4240-86DF-E4376CDA0FDC}"/>
            </a:ext>
          </a:extLst>
        </xdr:cNvPr>
        <xdr:cNvSpPr>
          <a:spLocks noChangeAspect="1" noChangeArrowheads="1"/>
        </xdr:cNvSpPr>
      </xdr:nvSpPr>
      <xdr:spPr bwMode="auto">
        <a:xfrm>
          <a:off x="3505200" y="975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203201</xdr:colOff>
      <xdr:row>4</xdr:row>
      <xdr:rowOff>88900</xdr:rowOff>
    </xdr:from>
    <xdr:to>
      <xdr:col>34</xdr:col>
      <xdr:colOff>92531</xdr:colOff>
      <xdr:row>18</xdr:row>
      <xdr:rowOff>190500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B169A3A-E1FE-4D7E-B528-C9071AB616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9291301" y="901700"/>
          <a:ext cx="9312730" cy="2946400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13</xdr:row>
      <xdr:rowOff>50800</xdr:rowOff>
    </xdr:from>
    <xdr:to>
      <xdr:col>17</xdr:col>
      <xdr:colOff>544286</xdr:colOff>
      <xdr:row>32</xdr:row>
      <xdr:rowOff>7257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79016322-D8E2-455A-8E7E-287501ACF1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19</xdr:row>
      <xdr:rowOff>0</xdr:rowOff>
    </xdr:from>
    <xdr:to>
      <xdr:col>4</xdr:col>
      <xdr:colOff>0</xdr:colOff>
      <xdr:row>33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3069649-D9AA-EEB2-F5E0-AC9A344291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19</xdr:row>
      <xdr:rowOff>0</xdr:rowOff>
    </xdr:from>
    <xdr:to>
      <xdr:col>10</xdr:col>
      <xdr:colOff>0</xdr:colOff>
      <xdr:row>33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9D53988-E13B-4E5C-9DAB-9F7A656646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321235</xdr:colOff>
      <xdr:row>31</xdr:row>
      <xdr:rowOff>141942</xdr:rowOff>
    </xdr:from>
    <xdr:to>
      <xdr:col>10</xdr:col>
      <xdr:colOff>122144</xdr:colOff>
      <xdr:row>49</xdr:row>
      <xdr:rowOff>141942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65F35F4-4F78-F09A-1411-301EED5CD9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612588</xdr:colOff>
      <xdr:row>30</xdr:row>
      <xdr:rowOff>147171</xdr:rowOff>
    </xdr:from>
    <xdr:to>
      <xdr:col>17</xdr:col>
      <xdr:colOff>546847</xdr:colOff>
      <xdr:row>48</xdr:row>
      <xdr:rowOff>147171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6D2A80C-472F-408F-BEF5-E9C34BF73E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179293</xdr:colOff>
      <xdr:row>14</xdr:row>
      <xdr:rowOff>89647</xdr:rowOff>
    </xdr:from>
    <xdr:to>
      <xdr:col>9</xdr:col>
      <xdr:colOff>652555</xdr:colOff>
      <xdr:row>30</xdr:row>
      <xdr:rowOff>78441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1E249C9-4B8D-4F05-8B32-429BFD89A2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18</xdr:col>
      <xdr:colOff>449867</xdr:colOff>
      <xdr:row>24</xdr:row>
      <xdr:rowOff>143783</xdr:rowOff>
    </xdr:from>
    <xdr:to>
      <xdr:col>37</xdr:col>
      <xdr:colOff>193542</xdr:colOff>
      <xdr:row>45</xdr:row>
      <xdr:rowOff>163286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AAF9530-9074-3D9E-DAB5-C717D273C6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166367" y="4933497"/>
          <a:ext cx="12498104" cy="4210503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48</xdr:row>
      <xdr:rowOff>0</xdr:rowOff>
    </xdr:from>
    <xdr:to>
      <xdr:col>2</xdr:col>
      <xdr:colOff>304800</xdr:colOff>
      <xdr:row>49</xdr:row>
      <xdr:rowOff>101600</xdr:rowOff>
    </xdr:to>
    <xdr:sp macro="" textlink="">
      <xdr:nvSpPr>
        <xdr:cNvPr id="1025" name="AutoShape 1" descr="Image preview">
          <a:extLst>
            <a:ext uri="{FF2B5EF4-FFF2-40B4-BE49-F238E27FC236}">
              <a16:creationId xmlns:a16="http://schemas.microsoft.com/office/drawing/2014/main" id="{210F1A9D-14D6-F36B-F88B-196245D7BF08}"/>
            </a:ext>
          </a:extLst>
        </xdr:cNvPr>
        <xdr:cNvSpPr>
          <a:spLocks noChangeAspect="1" noChangeArrowheads="1"/>
        </xdr:cNvSpPr>
      </xdr:nvSpPr>
      <xdr:spPr bwMode="auto">
        <a:xfrm>
          <a:off x="2781300" y="812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48</xdr:row>
      <xdr:rowOff>0</xdr:rowOff>
    </xdr:from>
    <xdr:to>
      <xdr:col>2</xdr:col>
      <xdr:colOff>304800</xdr:colOff>
      <xdr:row>49</xdr:row>
      <xdr:rowOff>101600</xdr:rowOff>
    </xdr:to>
    <xdr:sp macro="" textlink="">
      <xdr:nvSpPr>
        <xdr:cNvPr id="1026" name="AutoShape 2" descr="Image preview">
          <a:extLst>
            <a:ext uri="{FF2B5EF4-FFF2-40B4-BE49-F238E27FC236}">
              <a16:creationId xmlns:a16="http://schemas.microsoft.com/office/drawing/2014/main" id="{A55E1214-2FF2-9958-64CA-3203046C9D33}"/>
            </a:ext>
          </a:extLst>
        </xdr:cNvPr>
        <xdr:cNvSpPr>
          <a:spLocks noChangeAspect="1" noChangeArrowheads="1"/>
        </xdr:cNvSpPr>
      </xdr:nvSpPr>
      <xdr:spPr bwMode="auto">
        <a:xfrm>
          <a:off x="2781300" y="812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203201</xdr:colOff>
      <xdr:row>4</xdr:row>
      <xdr:rowOff>88900</xdr:rowOff>
    </xdr:from>
    <xdr:to>
      <xdr:col>34</xdr:col>
      <xdr:colOff>92531</xdr:colOff>
      <xdr:row>18</xdr:row>
      <xdr:rowOff>190500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43CBAF0-B5EB-994C-9ACF-5CE39DA607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9367501" y="88900"/>
          <a:ext cx="9312730" cy="2946400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15</xdr:row>
      <xdr:rowOff>0</xdr:rowOff>
    </xdr:from>
    <xdr:to>
      <xdr:col>17</xdr:col>
      <xdr:colOff>574861</xdr:colOff>
      <xdr:row>30</xdr:row>
      <xdr:rowOff>190500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374491E-7B00-A841-95C2-90A9D4479F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D9CDF-8D3B-4C4F-9F1C-C65D2EB3343E}">
  <dimension ref="A1:M49"/>
  <sheetViews>
    <sheetView tabSelected="1" topLeftCell="A13" zoomScaleNormal="100" workbookViewId="0">
      <selection activeCell="J28" sqref="J28"/>
    </sheetView>
  </sheetViews>
  <sheetFormatPr baseColWidth="10" defaultColWidth="8.83203125" defaultRowHeight="16" x14ac:dyDescent="0.2"/>
  <cols>
    <col min="1" max="1" width="27.6640625" bestFit="1" customWidth="1"/>
    <col min="2" max="2" width="18.33203125" bestFit="1" customWidth="1"/>
    <col min="3" max="3" width="25.33203125" customWidth="1"/>
    <col min="4" max="4" width="27.6640625" bestFit="1" customWidth="1"/>
    <col min="7" max="7" width="22.1640625" bestFit="1" customWidth="1"/>
  </cols>
  <sheetData>
    <row r="1" spans="1:13" x14ac:dyDescent="0.2">
      <c r="B1" t="s">
        <v>0</v>
      </c>
      <c r="C1" t="s">
        <v>379</v>
      </c>
      <c r="H1" t="s">
        <v>321</v>
      </c>
      <c r="I1" t="s">
        <v>322</v>
      </c>
      <c r="L1" t="s">
        <v>321</v>
      </c>
      <c r="M1" t="s">
        <v>322</v>
      </c>
    </row>
    <row r="2" spans="1:13" x14ac:dyDescent="0.2">
      <c r="A2" t="s">
        <v>5</v>
      </c>
      <c r="B2">
        <v>0.22600000000000001</v>
      </c>
      <c r="C2">
        <v>-0.12</v>
      </c>
      <c r="G2" t="s">
        <v>316</v>
      </c>
      <c r="H2">
        <v>2.7743699999999998</v>
      </c>
      <c r="I2">
        <v>2.8641299999999998</v>
      </c>
      <c r="K2" t="s">
        <v>319</v>
      </c>
      <c r="L2">
        <v>5.6759909999999998</v>
      </c>
      <c r="M2">
        <v>0.5556025</v>
      </c>
    </row>
    <row r="3" spans="1:13" x14ac:dyDescent="0.2">
      <c r="A3" t="s">
        <v>11</v>
      </c>
      <c r="B3">
        <v>-4.4999999999999998E-2</v>
      </c>
      <c r="C3">
        <v>0</v>
      </c>
      <c r="K3" t="s">
        <v>320</v>
      </c>
      <c r="L3">
        <v>0</v>
      </c>
      <c r="M3">
        <v>0</v>
      </c>
    </row>
    <row r="4" spans="1:13" x14ac:dyDescent="0.2">
      <c r="A4" t="s">
        <v>79</v>
      </c>
      <c r="B4">
        <v>0</v>
      </c>
      <c r="C4">
        <v>0.35</v>
      </c>
      <c r="G4" t="s">
        <v>323</v>
      </c>
      <c r="H4">
        <v>0.27068130000000001</v>
      </c>
      <c r="I4">
        <v>0.29724149999999999</v>
      </c>
      <c r="K4" t="s">
        <v>319</v>
      </c>
      <c r="L4">
        <v>0.55539000000000005</v>
      </c>
      <c r="M4">
        <v>0.15205959999999999</v>
      </c>
    </row>
    <row r="5" spans="1:13" x14ac:dyDescent="0.2">
      <c r="B5" t="s">
        <v>3</v>
      </c>
      <c r="C5" t="s">
        <v>127</v>
      </c>
      <c r="K5" t="s">
        <v>320</v>
      </c>
      <c r="L5">
        <v>0</v>
      </c>
      <c r="M5">
        <v>0</v>
      </c>
    </row>
    <row r="6" spans="1:13" x14ac:dyDescent="0.2">
      <c r="A6" t="s">
        <v>380</v>
      </c>
    </row>
    <row r="7" spans="1:13" x14ac:dyDescent="0.2">
      <c r="A7" t="s">
        <v>5</v>
      </c>
      <c r="B7" s="6">
        <v>0.68400000000000005</v>
      </c>
      <c r="C7">
        <v>0</v>
      </c>
      <c r="H7" t="s">
        <v>321</v>
      </c>
      <c r="I7" t="s">
        <v>322</v>
      </c>
      <c r="L7" t="s">
        <v>321</v>
      </c>
      <c r="M7" t="s">
        <v>322</v>
      </c>
    </row>
    <row r="8" spans="1:13" x14ac:dyDescent="0.2">
      <c r="A8" t="s">
        <v>186</v>
      </c>
      <c r="B8">
        <v>-2.5999999999999999E-2</v>
      </c>
      <c r="C8">
        <v>0</v>
      </c>
      <c r="G8" t="s">
        <v>186</v>
      </c>
      <c r="H8">
        <f>4.662178- 1.488808</f>
        <v>3.1733700000000002</v>
      </c>
      <c r="I8">
        <f>4.662178+1.488808</f>
        <v>6.1509859999999996</v>
      </c>
      <c r="K8" t="s">
        <v>319</v>
      </c>
      <c r="L8">
        <v>5.6759909999999998</v>
      </c>
      <c r="M8">
        <v>0.5556025</v>
      </c>
    </row>
    <row r="9" spans="1:13" x14ac:dyDescent="0.2">
      <c r="A9" t="s">
        <v>134</v>
      </c>
      <c r="B9">
        <v>-5.8000000000000003E-2</v>
      </c>
      <c r="C9">
        <v>0</v>
      </c>
      <c r="K9" t="s">
        <v>320</v>
      </c>
      <c r="L9">
        <v>3.4433929999999999</v>
      </c>
      <c r="M9">
        <v>1.3375330000000001</v>
      </c>
    </row>
    <row r="10" spans="1:13" x14ac:dyDescent="0.2">
      <c r="A10" t="s">
        <v>229</v>
      </c>
      <c r="B10">
        <v>0</v>
      </c>
      <c r="C10">
        <v>0.49399999999999999</v>
      </c>
      <c r="G10" t="s">
        <v>229</v>
      </c>
      <c r="H10">
        <f>0.5062086-0.1771589</f>
        <v>0.3290497</v>
      </c>
      <c r="I10">
        <f>0.5062086+0.1771589</f>
        <v>0.68336750000000002</v>
      </c>
      <c r="K10" t="s">
        <v>319</v>
      </c>
      <c r="L10">
        <v>0.55539000000000005</v>
      </c>
      <c r="M10">
        <v>0.15205959999999999</v>
      </c>
    </row>
    <row r="11" spans="1:13" x14ac:dyDescent="0.2">
      <c r="A11" t="s">
        <v>149</v>
      </c>
      <c r="B11">
        <v>0</v>
      </c>
      <c r="C11">
        <v>-0.109</v>
      </c>
      <c r="K11" t="s">
        <v>320</v>
      </c>
      <c r="L11">
        <v>0.44526110000000002</v>
      </c>
      <c r="M11">
        <v>0.18690109999999999</v>
      </c>
    </row>
    <row r="12" spans="1:13" x14ac:dyDescent="0.2">
      <c r="A12" t="s">
        <v>382</v>
      </c>
    </row>
    <row r="13" spans="1:13" x14ac:dyDescent="0.2">
      <c r="A13" t="s">
        <v>381</v>
      </c>
    </row>
    <row r="16" spans="1:13" x14ac:dyDescent="0.2">
      <c r="B16" t="s">
        <v>0</v>
      </c>
    </row>
    <row r="17" spans="1:5" x14ac:dyDescent="0.2">
      <c r="A17" t="s">
        <v>316</v>
      </c>
      <c r="B17" t="s">
        <v>317</v>
      </c>
      <c r="C17" t="s">
        <v>366</v>
      </c>
    </row>
    <row r="18" spans="1:5" x14ac:dyDescent="0.2">
      <c r="A18">
        <f>L2+M2</f>
        <v>6.2315934999999998</v>
      </c>
      <c r="B18">
        <f>$B$2+$B$3*A18</f>
        <v>-5.4421707499999999E-2</v>
      </c>
      <c r="E18" s="25"/>
    </row>
    <row r="19" spans="1:5" x14ac:dyDescent="0.2">
      <c r="A19">
        <f>L2-M2</f>
        <v>5.1203884999999998</v>
      </c>
      <c r="B19">
        <f>$B$2+$B$3*A19</f>
        <v>-4.4174824999999862E-3</v>
      </c>
    </row>
    <row r="20" spans="1:5" x14ac:dyDescent="0.2">
      <c r="A20">
        <v>0</v>
      </c>
      <c r="B20">
        <f>$B$2+$B$3*A20</f>
        <v>0.22600000000000001</v>
      </c>
    </row>
    <row r="21" spans="1:5" x14ac:dyDescent="0.2">
      <c r="A21">
        <v>7</v>
      </c>
      <c r="C21">
        <v>0</v>
      </c>
    </row>
    <row r="22" spans="1:5" x14ac:dyDescent="0.2">
      <c r="A22">
        <v>0</v>
      </c>
      <c r="C22">
        <v>0</v>
      </c>
    </row>
    <row r="24" spans="1:5" x14ac:dyDescent="0.2">
      <c r="B24" t="s">
        <v>378</v>
      </c>
    </row>
    <row r="25" spans="1:5" x14ac:dyDescent="0.2">
      <c r="A25" t="s">
        <v>323</v>
      </c>
      <c r="B25" t="s">
        <v>317</v>
      </c>
      <c r="C25" t="s">
        <v>366</v>
      </c>
    </row>
    <row r="26" spans="1:5" x14ac:dyDescent="0.2">
      <c r="A26">
        <v>0.8</v>
      </c>
      <c r="C26">
        <v>0</v>
      </c>
    </row>
    <row r="27" spans="1:5" x14ac:dyDescent="0.2">
      <c r="A27">
        <v>0</v>
      </c>
      <c r="C27">
        <v>0</v>
      </c>
    </row>
    <row r="28" spans="1:5" x14ac:dyDescent="0.2">
      <c r="A28">
        <v>0</v>
      </c>
      <c r="B28">
        <f>$C$2+$C$4*A28</f>
        <v>-0.12</v>
      </c>
    </row>
    <row r="29" spans="1:5" x14ac:dyDescent="0.2">
      <c r="A29">
        <f>L4-M4</f>
        <v>0.40333040000000009</v>
      </c>
      <c r="B29">
        <f>$C$2+$C$4*A29</f>
        <v>2.1165640000000013E-2</v>
      </c>
    </row>
    <row r="30" spans="1:5" x14ac:dyDescent="0.2">
      <c r="A30">
        <f>L4+M4</f>
        <v>0.70744960000000001</v>
      </c>
      <c r="B30">
        <f>$C$2+$C$4*A30</f>
        <v>0.12760736</v>
      </c>
    </row>
    <row r="35" spans="1:3" x14ac:dyDescent="0.2">
      <c r="B35" t="s">
        <v>3</v>
      </c>
    </row>
    <row r="36" spans="1:3" x14ac:dyDescent="0.2">
      <c r="A36" t="s">
        <v>186</v>
      </c>
      <c r="B36" t="s">
        <v>317</v>
      </c>
      <c r="C36" t="s">
        <v>318</v>
      </c>
    </row>
    <row r="37" spans="1:3" x14ac:dyDescent="0.2">
      <c r="A37">
        <f>L8-M8</f>
        <v>5.1203884999999998</v>
      </c>
      <c r="B37">
        <f>B7+B8*A37+B9*A37</f>
        <v>0.25388736600000006</v>
      </c>
    </row>
    <row r="38" spans="1:3" x14ac:dyDescent="0.2">
      <c r="A38">
        <f>L8+M8</f>
        <v>6.2315934999999998</v>
      </c>
      <c r="B38">
        <f>B7+B8*A38+A38*B9</f>
        <v>0.16054614600000006</v>
      </c>
    </row>
    <row r="39" spans="1:3" x14ac:dyDescent="0.2">
      <c r="A39">
        <v>0</v>
      </c>
      <c r="B39">
        <f>B7+B8*A39+A39*B9</f>
        <v>0.68400000000000005</v>
      </c>
    </row>
    <row r="40" spans="1:3" x14ac:dyDescent="0.2">
      <c r="A40">
        <f>L9-M9</f>
        <v>2.1058599999999998</v>
      </c>
      <c r="C40">
        <f>B8*(A40)</f>
        <v>-5.4752359999999993E-2</v>
      </c>
    </row>
    <row r="41" spans="1:3" x14ac:dyDescent="0.2">
      <c r="A41">
        <f>L9+M9</f>
        <v>4.780926</v>
      </c>
      <c r="C41">
        <f>B8*A41</f>
        <v>-0.124304076</v>
      </c>
    </row>
    <row r="42" spans="1:3" x14ac:dyDescent="0.2">
      <c r="A42">
        <v>0</v>
      </c>
      <c r="C42">
        <f>B8*A42</f>
        <v>0</v>
      </c>
    </row>
    <row r="43" spans="1:3" x14ac:dyDescent="0.2">
      <c r="B43" t="s">
        <v>127</v>
      </c>
    </row>
    <row r="44" spans="1:3" x14ac:dyDescent="0.2">
      <c r="A44" t="s">
        <v>229</v>
      </c>
      <c r="B44" t="s">
        <v>317</v>
      </c>
      <c r="C44" t="s">
        <v>318</v>
      </c>
    </row>
    <row r="45" spans="1:3" x14ac:dyDescent="0.2">
      <c r="A45">
        <f>L10+M10</f>
        <v>0.70744960000000001</v>
      </c>
      <c r="B45">
        <f>C10*A45+C11*A45</f>
        <v>0.272368096</v>
      </c>
    </row>
    <row r="46" spans="1:3" x14ac:dyDescent="0.2">
      <c r="A46">
        <f>L10-M10</f>
        <v>0.40333040000000009</v>
      </c>
      <c r="B46">
        <f>C10*A46+C11*A46</f>
        <v>0.15528220400000003</v>
      </c>
    </row>
    <row r="47" spans="1:3" x14ac:dyDescent="0.2">
      <c r="A47">
        <v>0</v>
      </c>
      <c r="B47">
        <f>C11*A47+C12*A47</f>
        <v>0</v>
      </c>
      <c r="C47">
        <f>C11*A47</f>
        <v>0</v>
      </c>
    </row>
    <row r="48" spans="1:3" x14ac:dyDescent="0.2">
      <c r="A48">
        <f>L11-M11</f>
        <v>0.25836000000000003</v>
      </c>
      <c r="C48">
        <f>C10*A48</f>
        <v>0.12762984000000002</v>
      </c>
    </row>
    <row r="49" spans="1:3" x14ac:dyDescent="0.2">
      <c r="A49">
        <f>L11+M11</f>
        <v>0.63216220000000001</v>
      </c>
      <c r="C49">
        <f>C10*A49</f>
        <v>0.31228812680000001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40A11-14E0-5242-BAF0-2DDD4FA2A627}">
  <dimension ref="B2:P61"/>
  <sheetViews>
    <sheetView workbookViewId="0">
      <selection activeCell="F30" sqref="B19:F30"/>
    </sheetView>
  </sheetViews>
  <sheetFormatPr baseColWidth="10" defaultColWidth="10.83203125" defaultRowHeight="16" x14ac:dyDescent="0.2"/>
  <cols>
    <col min="1" max="1" width="10.83203125" style="1"/>
    <col min="2" max="2" width="30.5" style="1" customWidth="1"/>
    <col min="3" max="3" width="14" style="1" customWidth="1"/>
    <col min="4" max="4" width="14.83203125" style="1" customWidth="1"/>
    <col min="5" max="7" width="10.83203125" style="1"/>
    <col min="8" max="8" width="30.5" style="1" customWidth="1"/>
    <col min="9" max="9" width="14" style="1" customWidth="1"/>
    <col min="10" max="10" width="14.83203125" style="1" customWidth="1"/>
    <col min="11" max="13" width="10.83203125" style="1"/>
    <col min="14" max="14" width="18.1640625" style="1" bestFit="1" customWidth="1"/>
    <col min="15" max="15" width="20.5" style="1" customWidth="1"/>
    <col min="16" max="16" width="21.5" style="1" customWidth="1"/>
    <col min="17" max="16384" width="10.83203125" style="1"/>
  </cols>
  <sheetData>
    <row r="2" spans="2:16" x14ac:dyDescent="0.2">
      <c r="B2" s="21"/>
      <c r="C2" s="22" t="s">
        <v>340</v>
      </c>
      <c r="D2" s="22" t="s">
        <v>341</v>
      </c>
      <c r="E2" s="22" t="s">
        <v>342</v>
      </c>
      <c r="F2" s="22" t="s">
        <v>343</v>
      </c>
      <c r="H2" s="21"/>
      <c r="I2" s="22" t="s">
        <v>340</v>
      </c>
      <c r="J2" s="22" t="s">
        <v>341</v>
      </c>
      <c r="K2" s="22" t="s">
        <v>342</v>
      </c>
      <c r="L2" s="22" t="s">
        <v>343</v>
      </c>
      <c r="N2" s="21"/>
      <c r="O2" s="22" t="s">
        <v>340</v>
      </c>
      <c r="P2" s="22" t="s">
        <v>341</v>
      </c>
    </row>
    <row r="3" spans="2:16" ht="32" customHeight="1" x14ac:dyDescent="0.2">
      <c r="B3" s="15" t="s">
        <v>345</v>
      </c>
      <c r="C3" s="39" t="s">
        <v>346</v>
      </c>
      <c r="D3" s="39"/>
      <c r="E3" s="39" t="s">
        <v>348</v>
      </c>
      <c r="F3" s="39"/>
      <c r="H3" s="15" t="s">
        <v>345</v>
      </c>
      <c r="I3" s="39" t="s">
        <v>349</v>
      </c>
      <c r="J3" s="39"/>
      <c r="K3" s="39" t="s">
        <v>350</v>
      </c>
      <c r="L3" s="39"/>
      <c r="N3" s="15" t="s">
        <v>345</v>
      </c>
      <c r="O3" s="39" t="s">
        <v>352</v>
      </c>
      <c r="P3" s="39"/>
    </row>
    <row r="4" spans="2:16" ht="16" customHeight="1" x14ac:dyDescent="0.2">
      <c r="B4" s="36" t="s">
        <v>334</v>
      </c>
      <c r="C4" s="13" t="s">
        <v>6</v>
      </c>
      <c r="D4" s="13" t="s">
        <v>67</v>
      </c>
      <c r="E4" s="13" t="s">
        <v>7</v>
      </c>
      <c r="F4" s="13" t="s">
        <v>68</v>
      </c>
      <c r="H4" s="36" t="s">
        <v>334</v>
      </c>
      <c r="I4" s="13" t="s">
        <v>128</v>
      </c>
      <c r="J4" s="13" t="s">
        <v>205</v>
      </c>
      <c r="K4" s="13" t="s">
        <v>10</v>
      </c>
      <c r="L4" s="13" t="s">
        <v>260</v>
      </c>
      <c r="N4" s="36" t="s">
        <v>334</v>
      </c>
      <c r="O4" s="13" t="s">
        <v>64</v>
      </c>
      <c r="P4" s="13" t="s">
        <v>53</v>
      </c>
    </row>
    <row r="5" spans="2:16" x14ac:dyDescent="0.2">
      <c r="B5" s="36"/>
      <c r="C5" s="13" t="s">
        <v>16</v>
      </c>
      <c r="D5" s="13" t="s">
        <v>30</v>
      </c>
      <c r="E5" s="13" t="s">
        <v>18</v>
      </c>
      <c r="F5" s="13" t="s">
        <v>73</v>
      </c>
      <c r="H5" s="36"/>
      <c r="I5" s="13" t="s">
        <v>29</v>
      </c>
      <c r="J5" s="13" t="s">
        <v>235</v>
      </c>
      <c r="K5" s="13" t="s">
        <v>24</v>
      </c>
      <c r="L5" s="13" t="s">
        <v>263</v>
      </c>
      <c r="N5" s="36"/>
      <c r="O5" s="13" t="s">
        <v>65</v>
      </c>
      <c r="P5" s="13" t="s">
        <v>239</v>
      </c>
    </row>
    <row r="6" spans="2:16" ht="16" customHeight="1" x14ac:dyDescent="0.2">
      <c r="B6" s="36" t="s">
        <v>364</v>
      </c>
      <c r="C6" s="13"/>
      <c r="D6" s="13" t="s">
        <v>76</v>
      </c>
      <c r="E6" s="13"/>
      <c r="F6" s="13" t="s">
        <v>77</v>
      </c>
      <c r="H6" s="36" t="s">
        <v>360</v>
      </c>
      <c r="J6" s="13" t="s">
        <v>265</v>
      </c>
      <c r="K6" s="13"/>
      <c r="L6" s="13" t="s">
        <v>266</v>
      </c>
      <c r="N6" s="36" t="s">
        <v>360</v>
      </c>
      <c r="P6" s="13" t="s">
        <v>97</v>
      </c>
    </row>
    <row r="7" spans="2:16" x14ac:dyDescent="0.2">
      <c r="B7" s="36"/>
      <c r="C7" s="13"/>
      <c r="D7" s="13" t="s">
        <v>26</v>
      </c>
      <c r="E7" s="13"/>
      <c r="F7" s="13" t="s">
        <v>78</v>
      </c>
      <c r="H7" s="36"/>
      <c r="J7" s="13" t="s">
        <v>213</v>
      </c>
      <c r="K7" s="13"/>
      <c r="L7" s="13" t="s">
        <v>78</v>
      </c>
      <c r="N7" s="36"/>
      <c r="P7" s="13" t="s">
        <v>241</v>
      </c>
    </row>
    <row r="8" spans="2:16" ht="16" customHeight="1" x14ac:dyDescent="0.2">
      <c r="B8" s="36" t="s">
        <v>365</v>
      </c>
      <c r="C8" s="13"/>
      <c r="D8" s="13" t="s">
        <v>80</v>
      </c>
      <c r="E8" s="13"/>
      <c r="F8" s="13" t="s">
        <v>81</v>
      </c>
      <c r="H8" s="36" t="s">
        <v>361</v>
      </c>
      <c r="J8" s="13" t="s">
        <v>268</v>
      </c>
      <c r="K8" s="13"/>
      <c r="L8" s="13" t="s">
        <v>269</v>
      </c>
      <c r="N8" s="36" t="s">
        <v>361</v>
      </c>
      <c r="P8" s="13" t="s">
        <v>273</v>
      </c>
    </row>
    <row r="9" spans="2:16" x14ac:dyDescent="0.2">
      <c r="B9" s="37"/>
      <c r="C9" s="16"/>
      <c r="D9" s="16" t="s">
        <v>85</v>
      </c>
      <c r="E9" s="16"/>
      <c r="F9" s="16" t="s">
        <v>86</v>
      </c>
      <c r="H9" s="36"/>
      <c r="J9" s="13" t="s">
        <v>163</v>
      </c>
      <c r="K9" s="13"/>
      <c r="L9" s="13" t="s">
        <v>274</v>
      </c>
      <c r="N9" s="36"/>
      <c r="P9" s="13" t="s">
        <v>217</v>
      </c>
    </row>
    <row r="10" spans="2:16" ht="16" customHeight="1" x14ac:dyDescent="0.2">
      <c r="B10" s="14" t="s">
        <v>335</v>
      </c>
      <c r="C10" s="13" t="s">
        <v>336</v>
      </c>
      <c r="D10" s="13" t="s">
        <v>336</v>
      </c>
      <c r="E10" s="13" t="s">
        <v>336</v>
      </c>
      <c r="F10" s="13" t="s">
        <v>336</v>
      </c>
      <c r="H10" s="36" t="s">
        <v>362</v>
      </c>
      <c r="I10" s="13"/>
      <c r="J10" s="13" t="s">
        <v>276</v>
      </c>
      <c r="K10" s="13"/>
      <c r="L10" s="13" t="s">
        <v>277</v>
      </c>
      <c r="N10" s="36" t="s">
        <v>362</v>
      </c>
      <c r="O10" s="13"/>
      <c r="P10" s="13" t="s">
        <v>140</v>
      </c>
    </row>
    <row r="11" spans="2:16" x14ac:dyDescent="0.2">
      <c r="B11" s="14" t="s">
        <v>337</v>
      </c>
      <c r="C11" s="13" t="s">
        <v>336</v>
      </c>
      <c r="D11" s="13" t="s">
        <v>336</v>
      </c>
      <c r="E11" s="13" t="s">
        <v>336</v>
      </c>
      <c r="F11" s="13" t="s">
        <v>336</v>
      </c>
      <c r="H11" s="36"/>
      <c r="I11" s="13"/>
      <c r="J11" s="13" t="s">
        <v>251</v>
      </c>
      <c r="K11" s="13"/>
      <c r="L11" s="13" t="s">
        <v>20</v>
      </c>
      <c r="N11" s="36"/>
      <c r="O11" s="13"/>
      <c r="P11" s="13" t="s">
        <v>213</v>
      </c>
    </row>
    <row r="12" spans="2:16" ht="16" customHeight="1" x14ac:dyDescent="0.2">
      <c r="B12" s="14" t="s">
        <v>338</v>
      </c>
      <c r="C12" s="13" t="s">
        <v>336</v>
      </c>
      <c r="D12" s="13" t="s">
        <v>336</v>
      </c>
      <c r="E12" s="13" t="s">
        <v>336</v>
      </c>
      <c r="F12" s="13" t="s">
        <v>336</v>
      </c>
      <c r="H12" s="36" t="s">
        <v>363</v>
      </c>
      <c r="I12" s="13"/>
      <c r="J12" s="13" t="s">
        <v>281</v>
      </c>
      <c r="K12" s="13"/>
      <c r="L12" s="13" t="s">
        <v>112</v>
      </c>
      <c r="N12" s="36" t="s">
        <v>363</v>
      </c>
      <c r="O12" s="13"/>
      <c r="P12" s="13" t="s">
        <v>285</v>
      </c>
    </row>
    <row r="13" spans="2:16" x14ac:dyDescent="0.2">
      <c r="B13" s="20" t="s">
        <v>339</v>
      </c>
      <c r="C13" s="16" t="s">
        <v>344</v>
      </c>
      <c r="D13" s="16" t="s">
        <v>347</v>
      </c>
      <c r="E13" s="16" t="s">
        <v>344</v>
      </c>
      <c r="F13" s="16" t="s">
        <v>347</v>
      </c>
      <c r="H13" s="37"/>
      <c r="I13" s="16"/>
      <c r="J13" s="16" t="s">
        <v>210</v>
      </c>
      <c r="K13" s="16"/>
      <c r="L13" s="16" t="s">
        <v>286</v>
      </c>
      <c r="N13" s="37"/>
      <c r="O13" s="16"/>
      <c r="P13" s="16" t="s">
        <v>60</v>
      </c>
    </row>
    <row r="14" spans="2:16" ht="16" customHeight="1" x14ac:dyDescent="0.2">
      <c r="H14" s="14" t="s">
        <v>335</v>
      </c>
      <c r="I14" s="13" t="s">
        <v>336</v>
      </c>
      <c r="J14" s="13" t="s">
        <v>336</v>
      </c>
      <c r="K14" s="13" t="s">
        <v>336</v>
      </c>
      <c r="L14" s="13" t="s">
        <v>336</v>
      </c>
      <c r="N14" s="14" t="s">
        <v>335</v>
      </c>
      <c r="O14" s="13" t="s">
        <v>336</v>
      </c>
      <c r="P14" s="13" t="s">
        <v>336</v>
      </c>
    </row>
    <row r="15" spans="2:16" x14ac:dyDescent="0.2">
      <c r="H15" s="14" t="s">
        <v>337</v>
      </c>
      <c r="I15" s="13" t="s">
        <v>336</v>
      </c>
      <c r="J15" s="13" t="s">
        <v>336</v>
      </c>
      <c r="K15" s="13" t="s">
        <v>336</v>
      </c>
      <c r="L15" s="13" t="s">
        <v>336</v>
      </c>
      <c r="N15" s="14" t="s">
        <v>337</v>
      </c>
      <c r="O15" s="13" t="s">
        <v>336</v>
      </c>
      <c r="P15" s="13" t="s">
        <v>336</v>
      </c>
    </row>
    <row r="16" spans="2:16" x14ac:dyDescent="0.2">
      <c r="H16" s="14" t="s">
        <v>338</v>
      </c>
      <c r="I16" s="13" t="s">
        <v>336</v>
      </c>
      <c r="J16" s="13" t="s">
        <v>336</v>
      </c>
      <c r="K16" s="13" t="s">
        <v>336</v>
      </c>
      <c r="L16" s="13" t="s">
        <v>336</v>
      </c>
      <c r="N16" s="14" t="s">
        <v>338</v>
      </c>
      <c r="O16" s="13" t="s">
        <v>336</v>
      </c>
      <c r="P16" s="13" t="s">
        <v>336</v>
      </c>
    </row>
    <row r="17" spans="2:16" ht="16" customHeight="1" x14ac:dyDescent="0.2">
      <c r="C17" s="23"/>
      <c r="H17" s="20" t="s">
        <v>339</v>
      </c>
      <c r="I17" s="16" t="s">
        <v>344</v>
      </c>
      <c r="J17" s="16" t="s">
        <v>351</v>
      </c>
      <c r="K17" s="16" t="s">
        <v>344</v>
      </c>
      <c r="L17" s="16" t="s">
        <v>351</v>
      </c>
      <c r="N17" s="20" t="s">
        <v>339</v>
      </c>
      <c r="O17" s="16" t="s">
        <v>353</v>
      </c>
      <c r="P17" s="16" t="s">
        <v>354</v>
      </c>
    </row>
    <row r="18" spans="2:16" x14ac:dyDescent="0.2">
      <c r="C18" s="23"/>
    </row>
    <row r="19" spans="2:16" x14ac:dyDescent="0.2">
      <c r="B19" s="21"/>
      <c r="C19" s="22" t="s">
        <v>340</v>
      </c>
      <c r="D19" s="22" t="s">
        <v>341</v>
      </c>
      <c r="E19" s="22" t="s">
        <v>342</v>
      </c>
      <c r="F19" s="22" t="s">
        <v>343</v>
      </c>
    </row>
    <row r="20" spans="2:16" ht="32" customHeight="1" x14ac:dyDescent="0.2">
      <c r="B20" s="15" t="s">
        <v>345</v>
      </c>
      <c r="C20" s="39" t="s">
        <v>346</v>
      </c>
      <c r="D20" s="39"/>
      <c r="E20" s="39" t="s">
        <v>386</v>
      </c>
      <c r="F20" s="39"/>
    </row>
    <row r="21" spans="2:16" ht="16" customHeight="1" x14ac:dyDescent="0.2">
      <c r="B21" s="36" t="s">
        <v>334</v>
      </c>
      <c r="C21" s="13" t="s">
        <v>6</v>
      </c>
      <c r="D21" s="13" t="s">
        <v>67</v>
      </c>
      <c r="E21" s="13" t="s">
        <v>41</v>
      </c>
      <c r="F21" s="13" t="s">
        <v>388</v>
      </c>
    </row>
    <row r="22" spans="2:16" x14ac:dyDescent="0.2">
      <c r="B22" s="36"/>
      <c r="C22" s="13" t="s">
        <v>16</v>
      </c>
      <c r="D22" s="13" t="s">
        <v>30</v>
      </c>
      <c r="E22" s="13" t="s">
        <v>383</v>
      </c>
      <c r="F22" s="13" t="s">
        <v>88</v>
      </c>
    </row>
    <row r="23" spans="2:16" ht="16" customHeight="1" x14ac:dyDescent="0.2">
      <c r="B23" s="36" t="s">
        <v>364</v>
      </c>
      <c r="C23" s="13"/>
      <c r="D23" s="13" t="s">
        <v>76</v>
      </c>
      <c r="E23" s="13"/>
      <c r="F23" s="13" t="s">
        <v>384</v>
      </c>
    </row>
    <row r="24" spans="2:16" x14ac:dyDescent="0.2">
      <c r="B24" s="36"/>
      <c r="C24" s="13"/>
      <c r="D24" s="13" t="s">
        <v>26</v>
      </c>
      <c r="E24" s="13"/>
      <c r="F24" s="13" t="s">
        <v>16</v>
      </c>
    </row>
    <row r="25" spans="2:16" ht="16" customHeight="1" x14ac:dyDescent="0.2">
      <c r="B25" s="36" t="s">
        <v>365</v>
      </c>
      <c r="C25" s="13"/>
      <c r="D25" s="13" t="s">
        <v>80</v>
      </c>
      <c r="E25" s="13"/>
      <c r="F25" s="13" t="s">
        <v>385</v>
      </c>
    </row>
    <row r="26" spans="2:16" x14ac:dyDescent="0.2">
      <c r="B26" s="37"/>
      <c r="C26" s="16"/>
      <c r="D26" s="16" t="s">
        <v>85</v>
      </c>
      <c r="E26" s="16"/>
      <c r="F26" s="16" t="s">
        <v>99</v>
      </c>
    </row>
    <row r="27" spans="2:16" x14ac:dyDescent="0.2">
      <c r="B27" s="14" t="s">
        <v>335</v>
      </c>
      <c r="C27" s="13" t="s">
        <v>336</v>
      </c>
      <c r="D27" s="13" t="s">
        <v>336</v>
      </c>
      <c r="E27" s="13" t="s">
        <v>336</v>
      </c>
      <c r="F27" s="13" t="s">
        <v>336</v>
      </c>
    </row>
    <row r="28" spans="2:16" x14ac:dyDescent="0.2">
      <c r="B28" s="14" t="s">
        <v>337</v>
      </c>
      <c r="C28" s="13" t="s">
        <v>336</v>
      </c>
      <c r="D28" s="13" t="s">
        <v>336</v>
      </c>
      <c r="E28" s="13" t="s">
        <v>336</v>
      </c>
      <c r="F28" s="13" t="s">
        <v>336</v>
      </c>
    </row>
    <row r="29" spans="2:16" x14ac:dyDescent="0.2">
      <c r="B29" s="14" t="s">
        <v>338</v>
      </c>
      <c r="C29" s="13" t="s">
        <v>336</v>
      </c>
      <c r="D29" s="13" t="s">
        <v>336</v>
      </c>
      <c r="E29" s="13" t="s">
        <v>336</v>
      </c>
      <c r="F29" s="13" t="s">
        <v>336</v>
      </c>
    </row>
    <row r="30" spans="2:16" x14ac:dyDescent="0.2">
      <c r="B30" s="20" t="s">
        <v>339</v>
      </c>
      <c r="C30" s="16" t="s">
        <v>344</v>
      </c>
      <c r="D30" s="16" t="s">
        <v>347</v>
      </c>
      <c r="E30" s="16" t="s">
        <v>387</v>
      </c>
      <c r="F30" s="16" t="s">
        <v>387</v>
      </c>
    </row>
    <row r="32" spans="2:16" ht="16" customHeight="1" x14ac:dyDescent="0.2"/>
    <row r="34" spans="2:7" ht="16" customHeight="1" x14ac:dyDescent="0.2"/>
    <row r="44" spans="2:7" x14ac:dyDescent="0.2">
      <c r="B44" s="38" t="s">
        <v>324</v>
      </c>
      <c r="C44" s="38" t="s">
        <v>325</v>
      </c>
      <c r="D44" s="38"/>
      <c r="E44" s="38"/>
      <c r="F44" s="38" t="s">
        <v>326</v>
      </c>
      <c r="G44" s="38" t="s">
        <v>327</v>
      </c>
    </row>
    <row r="45" spans="2:7" x14ac:dyDescent="0.2">
      <c r="B45" s="33"/>
      <c r="C45" s="19" t="s">
        <v>328</v>
      </c>
      <c r="D45" s="19" t="s">
        <v>329</v>
      </c>
      <c r="E45" s="19" t="s">
        <v>330</v>
      </c>
      <c r="F45" s="35"/>
      <c r="G45" s="35"/>
    </row>
    <row r="46" spans="2:7" x14ac:dyDescent="0.2">
      <c r="B46" s="32" t="s">
        <v>331</v>
      </c>
      <c r="C46" s="17" t="str">
        <f>"86.809"</f>
        <v>86.809</v>
      </c>
      <c r="D46" s="17" t="str">
        <f>"84.233"</f>
        <v>84.233</v>
      </c>
      <c r="E46" s="17" t="str">
        <f>"89.272"</f>
        <v>89.272</v>
      </c>
      <c r="F46" s="33" t="str">
        <f>"0.000"</f>
        <v>0.000</v>
      </c>
      <c r="G46" s="33" t="str">
        <f>"2702.000"</f>
        <v>2702.000</v>
      </c>
    </row>
    <row r="47" spans="2:7" x14ac:dyDescent="0.2">
      <c r="B47" s="32"/>
      <c r="C47" s="17" t="str">
        <f>"(113.981)"</f>
        <v>(113.981)</v>
      </c>
      <c r="D47" s="17" t="str">
        <f>"(89.347)"</f>
        <v>(89.347)</v>
      </c>
      <c r="E47" s="17" t="str">
        <f>"(133.323)"</f>
        <v>(133.323)</v>
      </c>
      <c r="F47" s="33"/>
      <c r="G47" s="33"/>
    </row>
    <row r="48" spans="2:7" x14ac:dyDescent="0.2">
      <c r="B48" s="32" t="s">
        <v>332</v>
      </c>
      <c r="C48" s="17" t="str">
        <f>"1.293"</f>
        <v>1.293</v>
      </c>
      <c r="D48" s="17" t="str">
        <f>"1.209"</f>
        <v>1.209</v>
      </c>
      <c r="E48" s="17" t="str">
        <f>"1.372"</f>
        <v>1.372</v>
      </c>
      <c r="F48" s="33" t="str">
        <f>"0.000"</f>
        <v>0.000</v>
      </c>
      <c r="G48" s="33" t="str">
        <f>"8.000"</f>
        <v>8.000</v>
      </c>
    </row>
    <row r="49" spans="2:7" x14ac:dyDescent="0.2">
      <c r="B49" s="32"/>
      <c r="C49" s="17" t="str">
        <f>"(1.166)"</f>
        <v>(1.166)</v>
      </c>
      <c r="D49" s="17" t="str">
        <f>"(1.133)"</f>
        <v>(1.133)</v>
      </c>
      <c r="E49" s="17" t="str">
        <f>"(1.192)"</f>
        <v>(1.192)</v>
      </c>
      <c r="F49" s="33"/>
      <c r="G49" s="33"/>
    </row>
    <row r="50" spans="2:7" x14ac:dyDescent="0.2">
      <c r="B50" s="32" t="s">
        <v>355</v>
      </c>
      <c r="C50" s="17" t="str">
        <f>"0.420"</f>
        <v>0.420</v>
      </c>
      <c r="D50" s="17" t="str">
        <f>"0.432"</f>
        <v>0.432</v>
      </c>
      <c r="E50" s="17" t="str">
        <f>"0.397"</f>
        <v>0.397</v>
      </c>
      <c r="F50" s="33" t="str">
        <f>"-0.048"</f>
        <v>-0.048</v>
      </c>
      <c r="G50" s="33" t="str">
        <f>"0.991"</f>
        <v>0.991</v>
      </c>
    </row>
    <row r="51" spans="2:7" x14ac:dyDescent="0.2">
      <c r="B51" s="32"/>
      <c r="C51" s="17" t="str">
        <f>"(0.181)"</f>
        <v>(0.181)</v>
      </c>
      <c r="D51" s="17" t="str">
        <f>"(0.175)"</f>
        <v>(0.175)</v>
      </c>
      <c r="E51" s="17" t="str">
        <f>"(0.188)"</f>
        <v>(0.188)</v>
      </c>
      <c r="F51" s="33"/>
      <c r="G51" s="33"/>
    </row>
    <row r="52" spans="2:7" x14ac:dyDescent="0.2">
      <c r="B52" s="32" t="s">
        <v>333</v>
      </c>
      <c r="C52" s="17" t="str">
        <f>"0.489"</f>
        <v>0.489</v>
      </c>
      <c r="D52" s="17" t="str">
        <f>"0.436"</f>
        <v>0.436</v>
      </c>
      <c r="E52" s="17" t="str">
        <f>"0.536"</f>
        <v>0.536</v>
      </c>
      <c r="F52" s="33" t="str">
        <f>"-3.000"</f>
        <v>-3.000</v>
      </c>
      <c r="G52" s="33" t="str">
        <f>"14.000"</f>
        <v>14.000</v>
      </c>
    </row>
    <row r="53" spans="2:7" x14ac:dyDescent="0.2">
      <c r="B53" s="32"/>
      <c r="C53" s="17" t="str">
        <f>"(1.096)"</f>
        <v>(1.096)</v>
      </c>
      <c r="D53" s="17" t="str">
        <f>"(1.041)"</f>
        <v>(1.041)</v>
      </c>
      <c r="E53" s="17" t="str">
        <f>"(1.140)"</f>
        <v>(1.140)</v>
      </c>
      <c r="F53" s="33"/>
      <c r="G53" s="33"/>
    </row>
    <row r="54" spans="2:7" x14ac:dyDescent="0.2">
      <c r="B54" s="32" t="s">
        <v>357</v>
      </c>
      <c r="C54" s="17" t="str">
        <f>"2.774"</f>
        <v>2.774</v>
      </c>
      <c r="D54" s="17" t="str">
        <f>"5.676"</f>
        <v>5.676</v>
      </c>
      <c r="E54" s="17" t="str">
        <f>"0.000"</f>
        <v>0.000</v>
      </c>
      <c r="F54" s="33" t="str">
        <f>"0.000"</f>
        <v>0.000</v>
      </c>
      <c r="G54" s="33" t="str">
        <f>"6.977"</f>
        <v>6.977</v>
      </c>
    </row>
    <row r="55" spans="2:7" x14ac:dyDescent="0.2">
      <c r="B55" s="32"/>
      <c r="C55" s="17" t="str">
        <f>"(2.864)"</f>
        <v>(2.864)</v>
      </c>
      <c r="D55" s="17" t="str">
        <f>"(0.556)"</f>
        <v>(0.556)</v>
      </c>
      <c r="E55" s="17" t="str">
        <f>"(0.000)"</f>
        <v>(0.000)</v>
      </c>
      <c r="F55" s="33"/>
      <c r="G55" s="33"/>
    </row>
    <row r="56" spans="2:7" x14ac:dyDescent="0.2">
      <c r="B56" s="32" t="s">
        <v>359</v>
      </c>
      <c r="C56" s="17" t="str">
        <f>"0.271"</f>
        <v>0.271</v>
      </c>
      <c r="D56" s="17" t="str">
        <f>"0.555"</f>
        <v>0.555</v>
      </c>
      <c r="E56" s="17" t="str">
        <f>"0.000"</f>
        <v>0.000</v>
      </c>
      <c r="F56" s="33" t="str">
        <f>"0.000"</f>
        <v>0.000</v>
      </c>
      <c r="G56" s="33" t="str">
        <f>"0.891"</f>
        <v>0.891</v>
      </c>
    </row>
    <row r="57" spans="2:7" x14ac:dyDescent="0.2">
      <c r="B57" s="32"/>
      <c r="C57" s="17" t="str">
        <f>"(0.297)"</f>
        <v>(0.297)</v>
      </c>
      <c r="D57" s="17" t="str">
        <f>"(0.152)"</f>
        <v>(0.152)</v>
      </c>
      <c r="E57" s="17" t="str">
        <f>"(0.000)"</f>
        <v>(0.000)</v>
      </c>
      <c r="F57" s="33"/>
      <c r="G57" s="33"/>
    </row>
    <row r="58" spans="2:7" x14ac:dyDescent="0.2">
      <c r="B58" s="32" t="s">
        <v>358</v>
      </c>
      <c r="C58" s="17" t="str">
        <f>"4.662"</f>
        <v>4.662</v>
      </c>
      <c r="D58" s="17" t="str">
        <f>"5.676"</f>
        <v>5.676</v>
      </c>
      <c r="E58" s="17" t="str">
        <f>"3.443"</f>
        <v>3.443</v>
      </c>
      <c r="F58" s="33" t="str">
        <f>"0.000"</f>
        <v>0.000</v>
      </c>
      <c r="G58" s="33" t="str">
        <f>"7.912"</f>
        <v>7.912</v>
      </c>
    </row>
    <row r="59" spans="2:7" x14ac:dyDescent="0.2">
      <c r="B59" s="32"/>
      <c r="C59" s="17" t="str">
        <f>"(1.489)"</f>
        <v>(1.489)</v>
      </c>
      <c r="D59" s="17" t="str">
        <f>"(0.556)"</f>
        <v>(0.556)</v>
      </c>
      <c r="E59" s="17" t="str">
        <f>"(1.338)"</f>
        <v>(1.338)</v>
      </c>
      <c r="F59" s="33"/>
      <c r="G59" s="33"/>
    </row>
    <row r="60" spans="2:7" x14ac:dyDescent="0.2">
      <c r="B60" s="32" t="s">
        <v>356</v>
      </c>
      <c r="C60" s="17" t="str">
        <f>"0.506"</f>
        <v>0.506</v>
      </c>
      <c r="D60" s="17" t="str">
        <f>"0.555"</f>
        <v>0.555</v>
      </c>
      <c r="E60" s="17" t="str">
        <f>"0.445"</f>
        <v>0.445</v>
      </c>
      <c r="F60" s="33" t="str">
        <f>"-0.090"</f>
        <v>-0.090</v>
      </c>
      <c r="G60" s="33" t="str">
        <f>"0.911"</f>
        <v>0.911</v>
      </c>
    </row>
    <row r="61" spans="2:7" x14ac:dyDescent="0.2">
      <c r="B61" s="34"/>
      <c r="C61" s="18" t="str">
        <f>"(0.177)"</f>
        <v>(0.177)</v>
      </c>
      <c r="D61" s="18" t="str">
        <f>"(0.152)"</f>
        <v>(0.152)</v>
      </c>
      <c r="E61" s="18" t="str">
        <f>"(0.187)"</f>
        <v>(0.187)</v>
      </c>
      <c r="F61" s="35"/>
      <c r="G61" s="35"/>
    </row>
  </sheetData>
  <mergeCells count="51">
    <mergeCell ref="B21:B22"/>
    <mergeCell ref="B23:B24"/>
    <mergeCell ref="B25:B26"/>
    <mergeCell ref="O3:P3"/>
    <mergeCell ref="B6:B7"/>
    <mergeCell ref="B8:B9"/>
    <mergeCell ref="B4:B5"/>
    <mergeCell ref="C3:D3"/>
    <mergeCell ref="E3:F3"/>
    <mergeCell ref="I3:J3"/>
    <mergeCell ref="K3:L3"/>
    <mergeCell ref="H4:H5"/>
    <mergeCell ref="N4:N5"/>
    <mergeCell ref="N6:N7"/>
    <mergeCell ref="N8:N9"/>
    <mergeCell ref="H6:H7"/>
    <mergeCell ref="H8:H9"/>
    <mergeCell ref="B48:B49"/>
    <mergeCell ref="F48:F49"/>
    <mergeCell ref="G48:G49"/>
    <mergeCell ref="N10:N11"/>
    <mergeCell ref="N12:N13"/>
    <mergeCell ref="B44:B45"/>
    <mergeCell ref="B46:B47"/>
    <mergeCell ref="C44:E44"/>
    <mergeCell ref="F44:F45"/>
    <mergeCell ref="G44:G45"/>
    <mergeCell ref="F46:F47"/>
    <mergeCell ref="G46:G47"/>
    <mergeCell ref="H10:H11"/>
    <mergeCell ref="H12:H13"/>
    <mergeCell ref="C20:D20"/>
    <mergeCell ref="E20:F20"/>
    <mergeCell ref="B50:B51"/>
    <mergeCell ref="F50:F51"/>
    <mergeCell ref="G50:G51"/>
    <mergeCell ref="B52:B53"/>
    <mergeCell ref="F52:F53"/>
    <mergeCell ref="G52:G53"/>
    <mergeCell ref="B54:B55"/>
    <mergeCell ref="F54:F55"/>
    <mergeCell ref="G54:G55"/>
    <mergeCell ref="B56:B57"/>
    <mergeCell ref="F56:F57"/>
    <mergeCell ref="G56:G57"/>
    <mergeCell ref="B58:B59"/>
    <mergeCell ref="F58:F59"/>
    <mergeCell ref="G58:G59"/>
    <mergeCell ref="B60:B61"/>
    <mergeCell ref="F60:F61"/>
    <mergeCell ref="G60:G61"/>
  </mergeCells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AFA23-5DA6-564F-ADE6-19391318ACD9}">
  <dimension ref="B1:X90"/>
  <sheetViews>
    <sheetView topLeftCell="A23" zoomScaleNormal="100" workbookViewId="0">
      <selection activeCell="B56" sqref="B56:L67"/>
    </sheetView>
  </sheetViews>
  <sheetFormatPr baseColWidth="10" defaultColWidth="10.83203125" defaultRowHeight="16" x14ac:dyDescent="0.2"/>
  <cols>
    <col min="1" max="1" width="10.83203125" style="1"/>
    <col min="2" max="2" width="27.1640625" style="1" customWidth="1"/>
    <col min="3" max="3" width="31.5" style="1" bestFit="1" customWidth="1"/>
    <col min="4" max="5" width="10.83203125" style="2"/>
    <col min="6" max="6" width="12" style="2" customWidth="1"/>
    <col min="7" max="7" width="14.5" style="2" customWidth="1"/>
    <col min="8" max="8" width="14" style="9" bestFit="1" customWidth="1"/>
    <col min="9" max="9" width="10.33203125" style="9" bestFit="1" customWidth="1"/>
    <col min="10" max="10" width="13.83203125" style="9" bestFit="1" customWidth="1"/>
    <col min="11" max="11" width="14" style="2" customWidth="1"/>
    <col min="12" max="12" width="13.83203125" style="2" customWidth="1"/>
    <col min="13" max="13" width="10.83203125" style="1"/>
    <col min="14" max="14" width="68.83203125" style="1" customWidth="1"/>
    <col min="15" max="15" width="31" style="1" bestFit="1" customWidth="1"/>
    <col min="16" max="19" width="10.83203125" style="1"/>
    <col min="20" max="20" width="13.33203125" style="1" bestFit="1" customWidth="1"/>
    <col min="21" max="22" width="10.83203125" style="1"/>
    <col min="23" max="23" width="17" style="1" customWidth="1"/>
    <col min="24" max="24" width="9" style="1" bestFit="1" customWidth="1"/>
    <col min="25" max="16384" width="10.83203125" style="1"/>
  </cols>
  <sheetData>
    <row r="1" spans="2:12" hidden="1" x14ac:dyDescent="0.2"/>
    <row r="2" spans="2:12" hidden="1" x14ac:dyDescent="0.2">
      <c r="B2" s="28" t="s">
        <v>179</v>
      </c>
      <c r="C2" s="3"/>
      <c r="D2" s="30" t="s">
        <v>0</v>
      </c>
      <c r="E2" s="30"/>
      <c r="F2" s="30" t="s">
        <v>1</v>
      </c>
      <c r="G2" s="30"/>
      <c r="H2" s="8" t="s">
        <v>124</v>
      </c>
      <c r="I2" s="8" t="s">
        <v>125</v>
      </c>
      <c r="J2" s="8" t="s">
        <v>126</v>
      </c>
      <c r="K2" s="30" t="s">
        <v>2</v>
      </c>
      <c r="L2" s="30"/>
    </row>
    <row r="3" spans="2:12" hidden="1" x14ac:dyDescent="0.2">
      <c r="B3" s="29"/>
      <c r="C3" s="26" t="s">
        <v>5</v>
      </c>
      <c r="D3" s="4" t="s">
        <v>6</v>
      </c>
      <c r="E3" s="4" t="s">
        <v>15</v>
      </c>
      <c r="F3" s="4" t="s">
        <v>7</v>
      </c>
      <c r="G3" s="4" t="s">
        <v>8</v>
      </c>
      <c r="H3" s="8" t="s">
        <v>43</v>
      </c>
      <c r="I3" s="8" t="s">
        <v>49</v>
      </c>
      <c r="J3" s="8" t="s">
        <v>50</v>
      </c>
      <c r="K3" s="4" t="s">
        <v>9</v>
      </c>
      <c r="L3" s="4" t="s">
        <v>44</v>
      </c>
    </row>
    <row r="4" spans="2:12" hidden="1" x14ac:dyDescent="0.2">
      <c r="B4" s="29"/>
      <c r="C4" s="27"/>
      <c r="D4" s="4" t="s">
        <v>16</v>
      </c>
      <c r="E4" s="4" t="s">
        <v>17</v>
      </c>
      <c r="F4" s="4" t="s">
        <v>18</v>
      </c>
      <c r="G4" s="4" t="s">
        <v>19</v>
      </c>
      <c r="H4" s="8" t="s">
        <v>51</v>
      </c>
      <c r="I4" s="8" t="s">
        <v>52</v>
      </c>
      <c r="J4" s="8" t="s">
        <v>17</v>
      </c>
      <c r="K4" s="4" t="s">
        <v>22</v>
      </c>
      <c r="L4" s="4" t="s">
        <v>24</v>
      </c>
    </row>
    <row r="5" spans="2:12" hidden="1" x14ac:dyDescent="0.2">
      <c r="B5" s="29"/>
      <c r="C5" s="26" t="s">
        <v>11</v>
      </c>
      <c r="D5" s="4"/>
      <c r="E5" s="4" t="s">
        <v>25</v>
      </c>
      <c r="F5" s="4"/>
      <c r="G5" s="4" t="s">
        <v>12</v>
      </c>
      <c r="H5" s="8" t="s">
        <v>53</v>
      </c>
      <c r="I5" s="8" t="s">
        <v>54</v>
      </c>
      <c r="J5" s="8" t="s">
        <v>55</v>
      </c>
      <c r="K5" s="4"/>
      <c r="L5" s="4" t="s">
        <v>56</v>
      </c>
    </row>
    <row r="6" spans="2:12" hidden="1" x14ac:dyDescent="0.2">
      <c r="B6" s="29"/>
      <c r="C6" s="27"/>
      <c r="D6" s="4"/>
      <c r="E6" s="4" t="s">
        <v>26</v>
      </c>
      <c r="F6" s="4"/>
      <c r="G6" s="4" t="s">
        <v>27</v>
      </c>
      <c r="H6" s="8" t="s">
        <v>57</v>
      </c>
      <c r="I6" s="8" t="s">
        <v>28</v>
      </c>
      <c r="J6" s="8" t="s">
        <v>26</v>
      </c>
      <c r="K6" s="4"/>
      <c r="L6" s="4" t="s">
        <v>26</v>
      </c>
    </row>
    <row r="7" spans="2:12" hidden="1" x14ac:dyDescent="0.2">
      <c r="B7" s="29"/>
      <c r="C7" s="26" t="s">
        <v>13</v>
      </c>
      <c r="D7" s="4"/>
      <c r="E7" s="4" t="s">
        <v>31</v>
      </c>
      <c r="F7" s="4"/>
      <c r="G7" s="4" t="s">
        <v>32</v>
      </c>
      <c r="H7" s="8" t="s">
        <v>45</v>
      </c>
      <c r="I7" s="8" t="s">
        <v>46</v>
      </c>
      <c r="J7" s="8" t="s">
        <v>47</v>
      </c>
      <c r="K7" s="4"/>
      <c r="L7" s="4" t="s">
        <v>48</v>
      </c>
    </row>
    <row r="8" spans="2:12" hidden="1" x14ac:dyDescent="0.2">
      <c r="B8" s="29"/>
      <c r="C8" s="27"/>
      <c r="D8" s="4"/>
      <c r="E8" s="4" t="s">
        <v>33</v>
      </c>
      <c r="F8" s="4"/>
      <c r="G8" s="4" t="s">
        <v>34</v>
      </c>
      <c r="H8" s="8" t="s">
        <v>58</v>
      </c>
      <c r="I8" s="8" t="s">
        <v>59</v>
      </c>
      <c r="J8" s="8" t="s">
        <v>60</v>
      </c>
      <c r="K8" s="4"/>
      <c r="L8" s="4" t="s">
        <v>27</v>
      </c>
    </row>
    <row r="9" spans="2:12" hidden="1" x14ac:dyDescent="0.2">
      <c r="B9" s="29"/>
      <c r="C9" s="3" t="s">
        <v>14</v>
      </c>
      <c r="D9" s="4" t="s">
        <v>38</v>
      </c>
      <c r="E9" s="4" t="s">
        <v>39</v>
      </c>
      <c r="F9" s="4" t="s">
        <v>38</v>
      </c>
      <c r="G9" s="4" t="s">
        <v>39</v>
      </c>
      <c r="H9" s="8" t="s">
        <v>61</v>
      </c>
      <c r="I9" s="8" t="s">
        <v>61</v>
      </c>
      <c r="J9" s="8" t="s">
        <v>61</v>
      </c>
      <c r="K9" s="4" t="s">
        <v>40</v>
      </c>
      <c r="L9" s="4" t="s">
        <v>62</v>
      </c>
    </row>
    <row r="10" spans="2:12" hidden="1" x14ac:dyDescent="0.2"/>
    <row r="11" spans="2:12" hidden="1" x14ac:dyDescent="0.2">
      <c r="B11" s="28" t="s">
        <v>180</v>
      </c>
      <c r="C11" s="3"/>
      <c r="D11" s="30" t="s">
        <v>3</v>
      </c>
      <c r="E11" s="30"/>
      <c r="F11" s="30" t="s">
        <v>4</v>
      </c>
      <c r="G11" s="30"/>
      <c r="H11" s="8" t="s">
        <v>124</v>
      </c>
      <c r="I11" s="8" t="s">
        <v>125</v>
      </c>
      <c r="J11" s="8" t="s">
        <v>126</v>
      </c>
      <c r="K11" s="30" t="s">
        <v>127</v>
      </c>
      <c r="L11" s="30"/>
    </row>
    <row r="12" spans="2:12" hidden="1" x14ac:dyDescent="0.2">
      <c r="B12" s="29"/>
      <c r="C12" s="26" t="s">
        <v>5</v>
      </c>
      <c r="D12" s="4" t="s">
        <v>128</v>
      </c>
      <c r="E12" s="4" t="s">
        <v>181</v>
      </c>
      <c r="F12" s="4" t="s">
        <v>10</v>
      </c>
      <c r="G12" s="4" t="s">
        <v>182</v>
      </c>
      <c r="H12" s="8" t="s">
        <v>183</v>
      </c>
      <c r="I12" s="8" t="s">
        <v>184</v>
      </c>
      <c r="J12" s="8" t="s">
        <v>206</v>
      </c>
      <c r="K12" s="4" t="s">
        <v>64</v>
      </c>
      <c r="L12" s="4" t="s">
        <v>185</v>
      </c>
    </row>
    <row r="13" spans="2:12" hidden="1" x14ac:dyDescent="0.2">
      <c r="B13" s="29"/>
      <c r="C13" s="27"/>
      <c r="D13" s="4" t="s">
        <v>29</v>
      </c>
      <c r="E13" s="4" t="s">
        <v>207</v>
      </c>
      <c r="F13" s="4" t="s">
        <v>24</v>
      </c>
      <c r="G13" s="4" t="s">
        <v>208</v>
      </c>
      <c r="H13" s="8" t="s">
        <v>209</v>
      </c>
      <c r="I13" s="8" t="s">
        <v>210</v>
      </c>
      <c r="J13" s="8" t="s">
        <v>135</v>
      </c>
      <c r="K13" s="4" t="s">
        <v>65</v>
      </c>
      <c r="L13" s="4" t="s">
        <v>18</v>
      </c>
    </row>
    <row r="14" spans="2:12" hidden="1" x14ac:dyDescent="0.2">
      <c r="B14" s="29"/>
      <c r="C14" s="26" t="s">
        <v>186</v>
      </c>
      <c r="D14" s="4"/>
      <c r="E14" s="4" t="s">
        <v>140</v>
      </c>
      <c r="F14" s="4"/>
      <c r="G14" s="4" t="s">
        <v>187</v>
      </c>
      <c r="H14" s="8" t="s">
        <v>188</v>
      </c>
      <c r="I14" s="8" t="s">
        <v>189</v>
      </c>
      <c r="J14" s="8" t="s">
        <v>190</v>
      </c>
      <c r="K14" s="4"/>
      <c r="L14" s="4" t="s">
        <v>191</v>
      </c>
    </row>
    <row r="15" spans="2:12" hidden="1" x14ac:dyDescent="0.2">
      <c r="B15" s="29"/>
      <c r="C15" s="27"/>
      <c r="D15" s="4"/>
      <c r="E15" s="4" t="s">
        <v>211</v>
      </c>
      <c r="F15" s="4"/>
      <c r="G15" s="4" t="s">
        <v>212</v>
      </c>
      <c r="H15" s="8" t="s">
        <v>16</v>
      </c>
      <c r="I15" s="8" t="s">
        <v>213</v>
      </c>
      <c r="J15" s="8" t="s">
        <v>211</v>
      </c>
      <c r="K15" s="4"/>
      <c r="L15" s="4" t="s">
        <v>214</v>
      </c>
    </row>
    <row r="16" spans="2:12" hidden="1" x14ac:dyDescent="0.2">
      <c r="B16" s="29"/>
      <c r="C16" s="26" t="s">
        <v>228</v>
      </c>
      <c r="D16" s="4"/>
      <c r="E16" s="4" t="s">
        <v>192</v>
      </c>
      <c r="F16" s="4"/>
      <c r="G16" s="4" t="s">
        <v>193</v>
      </c>
      <c r="H16" s="8" t="s">
        <v>194</v>
      </c>
      <c r="I16" s="8" t="s">
        <v>195</v>
      </c>
      <c r="J16" s="8" t="s">
        <v>196</v>
      </c>
      <c r="K16" s="4"/>
      <c r="L16" s="4" t="s">
        <v>197</v>
      </c>
    </row>
    <row r="17" spans="2:24" hidden="1" x14ac:dyDescent="0.2">
      <c r="B17" s="29"/>
      <c r="C17" s="27"/>
      <c r="D17" s="4"/>
      <c r="E17" s="4" t="s">
        <v>215</v>
      </c>
      <c r="F17" s="4"/>
      <c r="G17" s="4" t="s">
        <v>216</v>
      </c>
      <c r="H17" s="8" t="s">
        <v>60</v>
      </c>
      <c r="I17" s="8" t="s">
        <v>37</v>
      </c>
      <c r="J17" s="8" t="s">
        <v>217</v>
      </c>
      <c r="K17" s="4"/>
      <c r="L17" s="4" t="s">
        <v>218</v>
      </c>
    </row>
    <row r="18" spans="2:24" hidden="1" x14ac:dyDescent="0.2">
      <c r="B18" s="29"/>
      <c r="C18" s="26" t="s">
        <v>134</v>
      </c>
      <c r="D18" s="4"/>
      <c r="E18" s="4" t="s">
        <v>219</v>
      </c>
      <c r="F18" s="4"/>
      <c r="G18" s="4" t="s">
        <v>80</v>
      </c>
      <c r="H18" s="8" t="s">
        <v>220</v>
      </c>
      <c r="I18" s="8" t="s">
        <v>198</v>
      </c>
      <c r="J18" s="8" t="s">
        <v>199</v>
      </c>
      <c r="K18" s="4"/>
      <c r="L18" s="4" t="s">
        <v>221</v>
      </c>
    </row>
    <row r="19" spans="2:24" hidden="1" x14ac:dyDescent="0.2">
      <c r="B19" s="29"/>
      <c r="C19" s="27"/>
      <c r="D19" s="4"/>
      <c r="E19" s="4" t="s">
        <v>222</v>
      </c>
      <c r="F19" s="4"/>
      <c r="G19" s="4" t="s">
        <v>223</v>
      </c>
      <c r="H19" s="8" t="s">
        <v>222</v>
      </c>
      <c r="I19" s="8" t="s">
        <v>218</v>
      </c>
      <c r="J19" s="8" t="s">
        <v>224</v>
      </c>
      <c r="K19" s="4"/>
      <c r="L19" s="4" t="s">
        <v>211</v>
      </c>
    </row>
    <row r="20" spans="2:24" hidden="1" x14ac:dyDescent="0.2">
      <c r="B20" s="29"/>
      <c r="C20" s="26" t="s">
        <v>139</v>
      </c>
      <c r="D20" s="4"/>
      <c r="E20" s="4" t="s">
        <v>200</v>
      </c>
      <c r="F20" s="4"/>
      <c r="G20" s="4" t="s">
        <v>201</v>
      </c>
      <c r="H20" s="8" t="s">
        <v>202</v>
      </c>
      <c r="I20" s="8" t="s">
        <v>203</v>
      </c>
      <c r="J20" s="8" t="s">
        <v>204</v>
      </c>
      <c r="K20" s="4"/>
      <c r="L20" s="4" t="s">
        <v>205</v>
      </c>
    </row>
    <row r="21" spans="2:24" hidden="1" x14ac:dyDescent="0.2">
      <c r="B21" s="29"/>
      <c r="C21" s="27"/>
      <c r="D21" s="4"/>
      <c r="E21" s="4" t="s">
        <v>143</v>
      </c>
      <c r="F21" s="4"/>
      <c r="G21" s="4" t="s">
        <v>225</v>
      </c>
      <c r="H21" s="8" t="s">
        <v>226</v>
      </c>
      <c r="I21" s="8" t="s">
        <v>136</v>
      </c>
      <c r="J21" s="8" t="s">
        <v>35</v>
      </c>
      <c r="K21" s="4"/>
      <c r="L21" s="4" t="s">
        <v>227</v>
      </c>
    </row>
    <row r="22" spans="2:24" hidden="1" x14ac:dyDescent="0.2">
      <c r="B22" s="29"/>
      <c r="C22" s="3" t="s">
        <v>14</v>
      </c>
      <c r="D22" s="4" t="s">
        <v>38</v>
      </c>
      <c r="E22" s="4" t="s">
        <v>137</v>
      </c>
      <c r="F22" s="4" t="s">
        <v>38</v>
      </c>
      <c r="G22" s="4" t="s">
        <v>137</v>
      </c>
      <c r="H22" s="8" t="s">
        <v>100</v>
      </c>
      <c r="I22" s="8" t="s">
        <v>100</v>
      </c>
      <c r="J22" s="8" t="s">
        <v>100</v>
      </c>
      <c r="K22" s="4" t="s">
        <v>66</v>
      </c>
      <c r="L22" s="4" t="s">
        <v>138</v>
      </c>
    </row>
    <row r="23" spans="2:24" x14ac:dyDescent="0.2">
      <c r="B23" s="10"/>
      <c r="N23" s="10"/>
      <c r="P23" s="2"/>
      <c r="Q23" s="2"/>
      <c r="R23" s="2"/>
      <c r="S23" s="2"/>
      <c r="T23" s="11"/>
      <c r="U23" s="11"/>
      <c r="V23" s="11"/>
      <c r="W23" s="11"/>
      <c r="X23" s="11"/>
    </row>
    <row r="24" spans="2:24" x14ac:dyDescent="0.2">
      <c r="B24" s="10"/>
      <c r="N24" s="10"/>
      <c r="P24" s="2"/>
      <c r="Q24" s="2"/>
      <c r="R24" s="2"/>
      <c r="S24" s="2"/>
      <c r="T24" s="11"/>
      <c r="U24" s="11"/>
      <c r="V24" s="11"/>
      <c r="W24" s="11"/>
      <c r="X24" s="11"/>
    </row>
    <row r="25" spans="2:24" hidden="1" x14ac:dyDescent="0.2">
      <c r="B25" s="28" t="s">
        <v>177</v>
      </c>
      <c r="C25" s="3"/>
      <c r="D25" s="30" t="s">
        <v>0</v>
      </c>
      <c r="E25" s="30"/>
      <c r="F25" s="30" t="s">
        <v>1</v>
      </c>
      <c r="G25" s="30"/>
      <c r="H25" s="8" t="s">
        <v>124</v>
      </c>
      <c r="I25" s="8" t="s">
        <v>125</v>
      </c>
      <c r="J25" s="8" t="s">
        <v>126</v>
      </c>
      <c r="K25" s="30" t="s">
        <v>2</v>
      </c>
      <c r="L25" s="30"/>
      <c r="N25" s="10"/>
      <c r="P25" s="2"/>
      <c r="Q25" s="2"/>
      <c r="R25" s="2"/>
      <c r="S25" s="2"/>
      <c r="T25" s="11"/>
      <c r="U25" s="11"/>
      <c r="V25" s="11"/>
      <c r="W25" s="11"/>
      <c r="X25" s="11"/>
    </row>
    <row r="26" spans="2:24" hidden="1" x14ac:dyDescent="0.2">
      <c r="B26" s="29"/>
      <c r="C26" s="26" t="s">
        <v>5</v>
      </c>
      <c r="D26" s="4" t="s">
        <v>6</v>
      </c>
      <c r="E26" s="4" t="s">
        <v>15</v>
      </c>
      <c r="F26" s="4" t="s">
        <v>7</v>
      </c>
      <c r="G26" s="4" t="s">
        <v>8</v>
      </c>
      <c r="H26" s="8" t="s">
        <v>154</v>
      </c>
      <c r="I26" s="8" t="s">
        <v>93</v>
      </c>
      <c r="J26" s="8" t="s">
        <v>155</v>
      </c>
      <c r="K26" s="4" t="s">
        <v>103</v>
      </c>
      <c r="L26" s="4" t="s">
        <v>156</v>
      </c>
      <c r="N26" s="10"/>
      <c r="P26" s="2"/>
      <c r="Q26" s="2"/>
      <c r="R26" s="2"/>
      <c r="S26" s="2"/>
      <c r="T26" s="11"/>
      <c r="U26" s="11"/>
      <c r="V26" s="11"/>
      <c r="W26" s="11"/>
      <c r="X26" s="11"/>
    </row>
    <row r="27" spans="2:24" hidden="1" x14ac:dyDescent="0.2">
      <c r="B27" s="29"/>
      <c r="C27" s="27"/>
      <c r="D27" s="4" t="s">
        <v>16</v>
      </c>
      <c r="E27" s="4" t="s">
        <v>17</v>
      </c>
      <c r="F27" s="4" t="s">
        <v>18</v>
      </c>
      <c r="G27" s="4" t="s">
        <v>19</v>
      </c>
      <c r="H27" s="8" t="s">
        <v>157</v>
      </c>
      <c r="I27" s="8" t="s">
        <v>158</v>
      </c>
      <c r="J27" s="8" t="s">
        <v>159</v>
      </c>
      <c r="K27" s="4" t="s">
        <v>160</v>
      </c>
      <c r="L27" s="4" t="s">
        <v>161</v>
      </c>
      <c r="N27" s="10"/>
      <c r="P27" s="2"/>
      <c r="Q27" s="2"/>
      <c r="R27" s="2"/>
      <c r="S27" s="2"/>
      <c r="T27" s="11"/>
      <c r="U27" s="11"/>
      <c r="V27" s="11"/>
      <c r="W27" s="11"/>
      <c r="X27" s="11"/>
    </row>
    <row r="28" spans="2:24" hidden="1" x14ac:dyDescent="0.2">
      <c r="B28" s="29"/>
      <c r="C28" s="26" t="s">
        <v>11</v>
      </c>
      <c r="D28" s="4"/>
      <c r="E28" s="4" t="s">
        <v>25</v>
      </c>
      <c r="F28" s="4"/>
      <c r="G28" s="4" t="s">
        <v>12</v>
      </c>
      <c r="H28" s="8" t="s">
        <v>56</v>
      </c>
      <c r="I28" s="8" t="s">
        <v>56</v>
      </c>
      <c r="J28" s="8" t="s">
        <v>162</v>
      </c>
      <c r="K28" s="4"/>
      <c r="L28" s="4" t="s">
        <v>97</v>
      </c>
      <c r="N28" s="10"/>
      <c r="P28" s="2"/>
      <c r="Q28" s="2"/>
      <c r="R28" s="2"/>
      <c r="S28" s="2"/>
      <c r="T28" s="11"/>
      <c r="U28" s="11"/>
      <c r="V28" s="11"/>
      <c r="W28" s="11"/>
      <c r="X28" s="11"/>
    </row>
    <row r="29" spans="2:24" hidden="1" x14ac:dyDescent="0.2">
      <c r="B29" s="29"/>
      <c r="C29" s="27"/>
      <c r="D29" s="4"/>
      <c r="E29" s="4" t="s">
        <v>26</v>
      </c>
      <c r="F29" s="4"/>
      <c r="G29" s="4" t="s">
        <v>27</v>
      </c>
      <c r="H29" s="8" t="s">
        <v>30</v>
      </c>
      <c r="I29" s="8" t="s">
        <v>17</v>
      </c>
      <c r="J29" s="8" t="s">
        <v>163</v>
      </c>
      <c r="K29" s="4"/>
      <c r="L29" s="4" t="s">
        <v>164</v>
      </c>
      <c r="N29" s="10"/>
      <c r="P29" s="2"/>
      <c r="Q29" s="2"/>
      <c r="R29" s="2"/>
      <c r="S29" s="2"/>
      <c r="T29" s="11"/>
      <c r="U29" s="11"/>
      <c r="V29" s="11"/>
      <c r="W29" s="11"/>
      <c r="X29" s="11"/>
    </row>
    <row r="30" spans="2:24" hidden="1" x14ac:dyDescent="0.2">
      <c r="B30" s="29"/>
      <c r="C30" s="26" t="s">
        <v>13</v>
      </c>
      <c r="D30" s="4"/>
      <c r="E30" s="4" t="s">
        <v>31</v>
      </c>
      <c r="F30" s="4"/>
      <c r="G30" s="4" t="s">
        <v>32</v>
      </c>
      <c r="H30" s="8" t="s">
        <v>165</v>
      </c>
      <c r="I30" s="8" t="s">
        <v>166</v>
      </c>
      <c r="J30" s="8" t="s">
        <v>153</v>
      </c>
      <c r="K30" s="4"/>
      <c r="L30" s="4" t="s">
        <v>167</v>
      </c>
      <c r="N30" s="10"/>
      <c r="P30" s="2"/>
      <c r="Q30" s="2"/>
      <c r="R30" s="2"/>
      <c r="S30" s="2"/>
      <c r="T30" s="11"/>
      <c r="U30" s="11"/>
      <c r="V30" s="11"/>
      <c r="W30" s="11"/>
      <c r="X30" s="11"/>
    </row>
    <row r="31" spans="2:24" hidden="1" x14ac:dyDescent="0.2">
      <c r="B31" s="29"/>
      <c r="C31" s="27"/>
      <c r="D31" s="4"/>
      <c r="E31" s="4" t="s">
        <v>33</v>
      </c>
      <c r="F31" s="4"/>
      <c r="G31" s="4" t="s">
        <v>34</v>
      </c>
      <c r="H31" s="8" t="s">
        <v>168</v>
      </c>
      <c r="I31" s="8" t="s">
        <v>169</v>
      </c>
      <c r="J31" s="8" t="s">
        <v>34</v>
      </c>
      <c r="K31" s="4"/>
      <c r="L31" s="4" t="s">
        <v>23</v>
      </c>
      <c r="N31" s="10"/>
      <c r="P31" s="2"/>
      <c r="Q31" s="2"/>
      <c r="R31" s="2"/>
      <c r="S31" s="2"/>
      <c r="T31" s="11"/>
      <c r="U31" s="11"/>
      <c r="V31" s="11"/>
      <c r="W31" s="11"/>
      <c r="X31" s="11"/>
    </row>
    <row r="32" spans="2:24" hidden="1" x14ac:dyDescent="0.2">
      <c r="B32" s="29"/>
      <c r="C32" s="3" t="s">
        <v>14</v>
      </c>
      <c r="D32" s="4" t="s">
        <v>38</v>
      </c>
      <c r="E32" s="4" t="s">
        <v>39</v>
      </c>
      <c r="F32" s="4" t="s">
        <v>38</v>
      </c>
      <c r="G32" s="4" t="s">
        <v>39</v>
      </c>
      <c r="H32" s="12" t="s">
        <v>170</v>
      </c>
      <c r="I32" s="12" t="s">
        <v>170</v>
      </c>
      <c r="J32" s="12" t="s">
        <v>170</v>
      </c>
      <c r="K32" s="5" t="s">
        <v>171</v>
      </c>
      <c r="L32" s="5" t="s">
        <v>171</v>
      </c>
      <c r="N32" s="10"/>
      <c r="P32" s="2"/>
      <c r="Q32" s="2"/>
      <c r="R32" s="2"/>
      <c r="S32" s="2"/>
      <c r="T32" s="11"/>
      <c r="U32" s="11"/>
      <c r="V32" s="11"/>
      <c r="W32" s="11"/>
      <c r="X32" s="11"/>
    </row>
    <row r="33" spans="2:24" hidden="1" x14ac:dyDescent="0.2">
      <c r="N33" s="10"/>
      <c r="P33" s="2"/>
      <c r="Q33" s="2"/>
      <c r="R33" s="2"/>
      <c r="S33" s="2"/>
      <c r="T33" s="11"/>
      <c r="U33" s="11"/>
      <c r="V33" s="11"/>
      <c r="W33" s="11"/>
      <c r="X33" s="11"/>
    </row>
    <row r="34" spans="2:24" hidden="1" x14ac:dyDescent="0.2">
      <c r="B34" s="28" t="s">
        <v>178</v>
      </c>
      <c r="C34" s="3"/>
      <c r="D34" s="30" t="s">
        <v>3</v>
      </c>
      <c r="E34" s="30"/>
      <c r="F34" s="30" t="s">
        <v>4</v>
      </c>
      <c r="G34" s="30"/>
      <c r="H34" s="8" t="s">
        <v>124</v>
      </c>
      <c r="I34" s="8" t="s">
        <v>125</v>
      </c>
      <c r="J34" s="8" t="s">
        <v>126</v>
      </c>
      <c r="K34" s="30" t="s">
        <v>127</v>
      </c>
      <c r="L34" s="30"/>
      <c r="N34" s="10"/>
      <c r="P34" s="2"/>
      <c r="Q34" s="2"/>
      <c r="R34" s="2"/>
      <c r="S34" s="2"/>
      <c r="T34" s="11"/>
      <c r="U34" s="11"/>
      <c r="V34" s="11"/>
      <c r="W34" s="11"/>
      <c r="X34" s="11"/>
    </row>
    <row r="35" spans="2:24" hidden="1" x14ac:dyDescent="0.2">
      <c r="B35" s="29"/>
      <c r="C35" s="26" t="s">
        <v>5</v>
      </c>
      <c r="D35" s="4" t="s">
        <v>128</v>
      </c>
      <c r="E35" s="4" t="s">
        <v>181</v>
      </c>
      <c r="F35" s="4" t="s">
        <v>10</v>
      </c>
      <c r="G35" s="4" t="s">
        <v>182</v>
      </c>
      <c r="H35" s="8" t="s">
        <v>288</v>
      </c>
      <c r="I35" s="8" t="s">
        <v>289</v>
      </c>
      <c r="J35" s="8" t="s">
        <v>290</v>
      </c>
      <c r="K35" s="4" t="s">
        <v>123</v>
      </c>
      <c r="L35" s="4" t="s">
        <v>291</v>
      </c>
      <c r="N35" s="10"/>
      <c r="P35" s="2"/>
      <c r="Q35" s="2"/>
      <c r="R35" s="2"/>
      <c r="S35" s="2"/>
      <c r="T35" s="11"/>
      <c r="U35" s="11"/>
      <c r="V35" s="11"/>
      <c r="W35" s="11"/>
      <c r="X35" s="11"/>
    </row>
    <row r="36" spans="2:24" hidden="1" x14ac:dyDescent="0.2">
      <c r="B36" s="29"/>
      <c r="C36" s="27"/>
      <c r="D36" s="4" t="s">
        <v>29</v>
      </c>
      <c r="E36" s="4" t="s">
        <v>207</v>
      </c>
      <c r="F36" s="4" t="s">
        <v>24</v>
      </c>
      <c r="G36" s="4" t="s">
        <v>208</v>
      </c>
      <c r="H36" s="8" t="s">
        <v>23</v>
      </c>
      <c r="I36" s="8" t="s">
        <v>292</v>
      </c>
      <c r="J36" s="8" t="s">
        <v>293</v>
      </c>
      <c r="K36" s="4" t="s">
        <v>99</v>
      </c>
      <c r="L36" s="4" t="s">
        <v>294</v>
      </c>
      <c r="N36" s="10"/>
      <c r="P36" s="2"/>
      <c r="Q36" s="2"/>
      <c r="R36" s="2"/>
      <c r="S36" s="2"/>
      <c r="T36" s="11"/>
      <c r="U36" s="11"/>
      <c r="V36" s="11"/>
      <c r="W36" s="11"/>
      <c r="X36" s="11"/>
    </row>
    <row r="37" spans="2:24" hidden="1" x14ac:dyDescent="0.2">
      <c r="B37" s="29"/>
      <c r="C37" s="26" t="s">
        <v>186</v>
      </c>
      <c r="D37" s="4"/>
      <c r="E37" s="4" t="s">
        <v>140</v>
      </c>
      <c r="F37" s="4"/>
      <c r="G37" s="4" t="s">
        <v>187</v>
      </c>
      <c r="H37" s="8" t="s">
        <v>93</v>
      </c>
      <c r="I37" s="8" t="s">
        <v>295</v>
      </c>
      <c r="J37" s="8" t="s">
        <v>296</v>
      </c>
      <c r="K37" s="4"/>
      <c r="L37" s="4" t="s">
        <v>297</v>
      </c>
      <c r="N37" s="10"/>
      <c r="P37" s="2"/>
      <c r="Q37" s="2"/>
      <c r="R37" s="2"/>
      <c r="S37" s="2"/>
      <c r="T37" s="11"/>
      <c r="U37" s="11"/>
      <c r="V37" s="11"/>
      <c r="W37" s="11"/>
      <c r="X37" s="11"/>
    </row>
    <row r="38" spans="2:24" hidden="1" x14ac:dyDescent="0.2">
      <c r="B38" s="29"/>
      <c r="C38" s="27"/>
      <c r="D38" s="4"/>
      <c r="E38" s="4" t="s">
        <v>211</v>
      </c>
      <c r="F38" s="4"/>
      <c r="G38" s="4" t="s">
        <v>212</v>
      </c>
      <c r="H38" s="8" t="s">
        <v>298</v>
      </c>
      <c r="I38" s="8" t="s">
        <v>299</v>
      </c>
      <c r="J38" s="8" t="s">
        <v>57</v>
      </c>
      <c r="K38" s="4"/>
      <c r="L38" s="4" t="s">
        <v>299</v>
      </c>
      <c r="N38" s="10"/>
      <c r="P38" s="2"/>
      <c r="Q38" s="2"/>
      <c r="R38" s="2"/>
      <c r="S38" s="2"/>
      <c r="T38" s="11"/>
      <c r="U38" s="11"/>
      <c r="V38" s="11"/>
      <c r="W38" s="11"/>
      <c r="X38" s="11"/>
    </row>
    <row r="39" spans="2:24" hidden="1" x14ac:dyDescent="0.2">
      <c r="B39" s="29"/>
      <c r="C39" s="26" t="s">
        <v>228</v>
      </c>
      <c r="D39" s="4"/>
      <c r="E39" s="4" t="s">
        <v>192</v>
      </c>
      <c r="F39" s="4"/>
      <c r="G39" s="4" t="s">
        <v>193</v>
      </c>
      <c r="H39" s="8" t="s">
        <v>300</v>
      </c>
      <c r="I39" s="8" t="s">
        <v>301</v>
      </c>
      <c r="J39" s="8" t="s">
        <v>302</v>
      </c>
      <c r="K39" s="4"/>
      <c r="L39" s="4" t="s">
        <v>303</v>
      </c>
      <c r="N39" s="10"/>
      <c r="P39" s="2"/>
      <c r="Q39" s="2"/>
      <c r="R39" s="2"/>
      <c r="S39" s="2"/>
      <c r="T39" s="11"/>
      <c r="U39" s="11"/>
      <c r="V39" s="11"/>
      <c r="W39" s="11"/>
      <c r="X39" s="11"/>
    </row>
    <row r="40" spans="2:24" hidden="1" x14ac:dyDescent="0.2">
      <c r="B40" s="29"/>
      <c r="C40" s="27"/>
      <c r="D40" s="4"/>
      <c r="E40" s="4" t="s">
        <v>215</v>
      </c>
      <c r="F40" s="4"/>
      <c r="G40" s="4" t="s">
        <v>216</v>
      </c>
      <c r="H40" s="8" t="s">
        <v>304</v>
      </c>
      <c r="I40" s="8" t="s">
        <v>173</v>
      </c>
      <c r="J40" s="8" t="s">
        <v>305</v>
      </c>
      <c r="K40" s="4"/>
      <c r="L40" s="4" t="s">
        <v>306</v>
      </c>
      <c r="N40" s="10"/>
      <c r="P40" s="2"/>
      <c r="Q40" s="2"/>
      <c r="R40" s="2"/>
      <c r="S40" s="2"/>
      <c r="T40" s="11"/>
      <c r="U40" s="11"/>
      <c r="V40" s="11"/>
      <c r="W40" s="11"/>
      <c r="X40" s="11"/>
    </row>
    <row r="41" spans="2:24" hidden="1" x14ac:dyDescent="0.2">
      <c r="B41" s="29"/>
      <c r="C41" s="26" t="s">
        <v>134</v>
      </c>
      <c r="D41" s="4"/>
      <c r="E41" s="4" t="s">
        <v>219</v>
      </c>
      <c r="F41" s="4"/>
      <c r="G41" s="4" t="s">
        <v>80</v>
      </c>
      <c r="H41" s="8" t="s">
        <v>277</v>
      </c>
      <c r="I41" s="8" t="s">
        <v>307</v>
      </c>
      <c r="J41" s="8" t="s">
        <v>308</v>
      </c>
      <c r="K41" s="4"/>
      <c r="L41" s="4" t="s">
        <v>309</v>
      </c>
      <c r="N41" s="10"/>
      <c r="P41" s="2"/>
      <c r="Q41" s="2"/>
      <c r="R41" s="2"/>
      <c r="S41" s="2"/>
      <c r="T41" s="11"/>
      <c r="U41" s="11"/>
      <c r="V41" s="11"/>
      <c r="W41" s="11"/>
      <c r="X41" s="11"/>
    </row>
    <row r="42" spans="2:24" hidden="1" x14ac:dyDescent="0.2">
      <c r="B42" s="29"/>
      <c r="C42" s="27"/>
      <c r="D42" s="4"/>
      <c r="E42" s="4" t="s">
        <v>222</v>
      </c>
      <c r="F42" s="4"/>
      <c r="G42" s="4" t="s">
        <v>223</v>
      </c>
      <c r="H42" s="8" t="s">
        <v>75</v>
      </c>
      <c r="I42" s="8" t="s">
        <v>24</v>
      </c>
      <c r="J42" s="8" t="s">
        <v>119</v>
      </c>
      <c r="K42" s="4"/>
      <c r="L42" s="4" t="s">
        <v>215</v>
      </c>
      <c r="N42" s="10"/>
      <c r="P42" s="2"/>
      <c r="Q42" s="2"/>
      <c r="R42" s="2"/>
      <c r="S42" s="2"/>
      <c r="T42" s="11"/>
      <c r="U42" s="11"/>
      <c r="V42" s="11"/>
      <c r="W42" s="11"/>
      <c r="X42" s="11"/>
    </row>
    <row r="43" spans="2:24" hidden="1" x14ac:dyDescent="0.2">
      <c r="B43" s="29"/>
      <c r="C43" s="26" t="s">
        <v>139</v>
      </c>
      <c r="D43" s="4"/>
      <c r="E43" s="4" t="s">
        <v>200</v>
      </c>
      <c r="F43" s="4"/>
      <c r="G43" s="4" t="s">
        <v>201</v>
      </c>
      <c r="H43" s="8" t="s">
        <v>310</v>
      </c>
      <c r="I43" s="8" t="s">
        <v>172</v>
      </c>
      <c r="J43" s="8" t="s">
        <v>311</v>
      </c>
      <c r="K43" s="4"/>
      <c r="L43" s="4" t="s">
        <v>308</v>
      </c>
      <c r="N43" s="10"/>
      <c r="P43" s="2"/>
      <c r="Q43" s="2"/>
      <c r="R43" s="2"/>
      <c r="S43" s="2"/>
      <c r="T43" s="11"/>
      <c r="U43" s="11"/>
      <c r="V43" s="11"/>
      <c r="W43" s="11"/>
      <c r="X43" s="11"/>
    </row>
    <row r="44" spans="2:24" hidden="1" x14ac:dyDescent="0.2">
      <c r="B44" s="29"/>
      <c r="C44" s="27"/>
      <c r="D44" s="4"/>
      <c r="E44" s="4" t="s">
        <v>143</v>
      </c>
      <c r="F44" s="4"/>
      <c r="G44" s="4" t="s">
        <v>225</v>
      </c>
      <c r="H44" s="8" t="s">
        <v>312</v>
      </c>
      <c r="I44" s="8" t="s">
        <v>313</v>
      </c>
      <c r="J44" s="8" t="s">
        <v>314</v>
      </c>
      <c r="K44" s="4"/>
      <c r="L44" s="4" t="s">
        <v>315</v>
      </c>
      <c r="N44" s="10"/>
      <c r="P44" s="2"/>
      <c r="Q44" s="2"/>
      <c r="R44" s="2"/>
      <c r="S44" s="2"/>
      <c r="T44" s="11"/>
      <c r="U44" s="11"/>
      <c r="V44" s="11"/>
      <c r="W44" s="11"/>
      <c r="X44" s="11"/>
    </row>
    <row r="45" spans="2:24" hidden="1" x14ac:dyDescent="0.2">
      <c r="B45" s="29"/>
      <c r="C45" s="3" t="s">
        <v>14</v>
      </c>
      <c r="D45" s="4" t="s">
        <v>38</v>
      </c>
      <c r="E45" s="4" t="s">
        <v>137</v>
      </c>
      <c r="F45" s="4" t="s">
        <v>38</v>
      </c>
      <c r="G45" s="4" t="s">
        <v>137</v>
      </c>
      <c r="H45" s="12" t="s">
        <v>174</v>
      </c>
      <c r="I45" s="12" t="s">
        <v>174</v>
      </c>
      <c r="J45" s="12" t="s">
        <v>174</v>
      </c>
      <c r="K45" s="5" t="s">
        <v>175</v>
      </c>
      <c r="L45" s="5" t="s">
        <v>176</v>
      </c>
      <c r="N45" s="10"/>
      <c r="P45" s="2"/>
      <c r="Q45" s="2"/>
      <c r="R45" s="2"/>
      <c r="S45" s="2"/>
      <c r="T45" s="11"/>
      <c r="U45" s="11"/>
      <c r="V45" s="11"/>
      <c r="W45" s="11"/>
      <c r="X45" s="11"/>
    </row>
    <row r="46" spans="2:24" hidden="1" x14ac:dyDescent="0.2"/>
    <row r="47" spans="2:24" x14ac:dyDescent="0.2">
      <c r="B47" s="28" t="s">
        <v>130</v>
      </c>
      <c r="C47" s="3"/>
      <c r="D47" s="30" t="s">
        <v>0</v>
      </c>
      <c r="E47" s="30"/>
      <c r="F47" s="30" t="s">
        <v>1</v>
      </c>
      <c r="G47" s="30"/>
      <c r="H47" s="24" t="s">
        <v>124</v>
      </c>
      <c r="I47" s="24" t="s">
        <v>125</v>
      </c>
      <c r="J47" s="24" t="s">
        <v>126</v>
      </c>
      <c r="K47" s="31" t="s">
        <v>2</v>
      </c>
      <c r="L47" s="31"/>
    </row>
    <row r="48" spans="2:24" x14ac:dyDescent="0.2">
      <c r="B48" s="29"/>
      <c r="C48" s="26" t="s">
        <v>5</v>
      </c>
      <c r="D48" s="7" t="s">
        <v>6</v>
      </c>
      <c r="E48" s="4" t="s">
        <v>67</v>
      </c>
      <c r="F48" s="4" t="s">
        <v>7</v>
      </c>
      <c r="G48" s="4" t="s">
        <v>68</v>
      </c>
      <c r="H48" s="24" t="s">
        <v>69</v>
      </c>
      <c r="I48" s="24" t="s">
        <v>70</v>
      </c>
      <c r="J48" s="24" t="s">
        <v>71</v>
      </c>
      <c r="K48" s="24" t="s">
        <v>9</v>
      </c>
      <c r="L48" s="24" t="s">
        <v>72</v>
      </c>
    </row>
    <row r="49" spans="2:12" x14ac:dyDescent="0.2">
      <c r="B49" s="29"/>
      <c r="C49" s="27"/>
      <c r="D49" s="4" t="s">
        <v>16</v>
      </c>
      <c r="E49" s="4" t="s">
        <v>30</v>
      </c>
      <c r="F49" s="4" t="s">
        <v>18</v>
      </c>
      <c r="G49" s="4" t="s">
        <v>73</v>
      </c>
      <c r="H49" s="24" t="s">
        <v>74</v>
      </c>
      <c r="I49" s="24" t="s">
        <v>51</v>
      </c>
      <c r="J49" s="24" t="s">
        <v>75</v>
      </c>
      <c r="K49" s="24" t="s">
        <v>22</v>
      </c>
      <c r="L49" s="24" t="s">
        <v>30</v>
      </c>
    </row>
    <row r="50" spans="2:12" x14ac:dyDescent="0.2">
      <c r="B50" s="29"/>
      <c r="C50" s="26" t="s">
        <v>11</v>
      </c>
      <c r="D50" s="4"/>
      <c r="E50" s="4" t="s">
        <v>76</v>
      </c>
      <c r="F50" s="4"/>
      <c r="G50" s="4" t="s">
        <v>77</v>
      </c>
      <c r="H50" s="24" t="s">
        <v>53</v>
      </c>
      <c r="I50" s="24" t="s">
        <v>56</v>
      </c>
      <c r="J50" s="24" t="s">
        <v>55</v>
      </c>
      <c r="K50" s="24"/>
      <c r="L50" s="24" t="s">
        <v>41</v>
      </c>
    </row>
    <row r="51" spans="2:12" x14ac:dyDescent="0.2">
      <c r="B51" s="29"/>
      <c r="C51" s="27"/>
      <c r="D51" s="4"/>
      <c r="E51" s="4" t="s">
        <v>26</v>
      </c>
      <c r="F51" s="4"/>
      <c r="G51" s="4" t="s">
        <v>78</v>
      </c>
      <c r="H51" s="24" t="s">
        <v>57</v>
      </c>
      <c r="I51" s="24" t="s">
        <v>28</v>
      </c>
      <c r="J51" s="24" t="s">
        <v>26</v>
      </c>
      <c r="K51" s="24"/>
      <c r="L51" s="24" t="s">
        <v>26</v>
      </c>
    </row>
    <row r="52" spans="2:12" x14ac:dyDescent="0.2">
      <c r="B52" s="29"/>
      <c r="C52" s="26" t="s">
        <v>79</v>
      </c>
      <c r="D52" s="4"/>
      <c r="E52" s="4" t="s">
        <v>80</v>
      </c>
      <c r="F52" s="4"/>
      <c r="G52" s="4" t="s">
        <v>81</v>
      </c>
      <c r="H52" s="24" t="s">
        <v>82</v>
      </c>
      <c r="I52" s="24" t="s">
        <v>83</v>
      </c>
      <c r="J52" s="24" t="s">
        <v>84</v>
      </c>
      <c r="K52" s="24"/>
      <c r="L52" s="24" t="s">
        <v>42</v>
      </c>
    </row>
    <row r="53" spans="2:12" x14ac:dyDescent="0.2">
      <c r="B53" s="29"/>
      <c r="C53" s="27"/>
      <c r="D53" s="4"/>
      <c r="E53" s="4" t="s">
        <v>85</v>
      </c>
      <c r="F53" s="4"/>
      <c r="G53" s="4" t="s">
        <v>86</v>
      </c>
      <c r="H53" s="24" t="s">
        <v>87</v>
      </c>
      <c r="I53" s="24" t="s">
        <v>88</v>
      </c>
      <c r="J53" s="24" t="s">
        <v>36</v>
      </c>
      <c r="K53" s="24"/>
      <c r="L53" s="24" t="s">
        <v>89</v>
      </c>
    </row>
    <row r="54" spans="2:12" x14ac:dyDescent="0.2">
      <c r="B54" s="29"/>
      <c r="C54" s="3" t="s">
        <v>14</v>
      </c>
      <c r="D54" s="4" t="s">
        <v>38</v>
      </c>
      <c r="E54" s="4" t="s">
        <v>90</v>
      </c>
      <c r="F54" s="4" t="s">
        <v>38</v>
      </c>
      <c r="G54" s="4" t="s">
        <v>90</v>
      </c>
      <c r="H54" s="24" t="s">
        <v>91</v>
      </c>
      <c r="I54" s="24" t="s">
        <v>91</v>
      </c>
      <c r="J54" s="24" t="s">
        <v>91</v>
      </c>
      <c r="K54" s="24" t="s">
        <v>40</v>
      </c>
      <c r="L54" s="24" t="s">
        <v>92</v>
      </c>
    </row>
    <row r="56" spans="2:12" x14ac:dyDescent="0.2">
      <c r="B56" s="28" t="s">
        <v>131</v>
      </c>
      <c r="C56" s="3"/>
      <c r="D56" s="30" t="s">
        <v>3</v>
      </c>
      <c r="E56" s="30"/>
      <c r="F56" s="30" t="s">
        <v>4</v>
      </c>
      <c r="G56" s="30"/>
      <c r="H56" s="8" t="s">
        <v>124</v>
      </c>
      <c r="I56" s="8" t="s">
        <v>125</v>
      </c>
      <c r="J56" s="8" t="s">
        <v>126</v>
      </c>
      <c r="K56" s="30" t="s">
        <v>127</v>
      </c>
      <c r="L56" s="30"/>
    </row>
    <row r="57" spans="2:12" x14ac:dyDescent="0.2">
      <c r="B57" s="29"/>
      <c r="C57" s="26" t="s">
        <v>5</v>
      </c>
      <c r="D57" s="7" t="s">
        <v>128</v>
      </c>
      <c r="E57" s="4" t="s">
        <v>205</v>
      </c>
      <c r="F57" s="4" t="s">
        <v>10</v>
      </c>
      <c r="G57" s="4" t="s">
        <v>260</v>
      </c>
      <c r="H57" s="8" t="s">
        <v>153</v>
      </c>
      <c r="I57" s="8" t="s">
        <v>261</v>
      </c>
      <c r="J57" s="8" t="s">
        <v>262</v>
      </c>
      <c r="K57" s="7" t="s">
        <v>64</v>
      </c>
      <c r="L57" s="7" t="s">
        <v>53</v>
      </c>
    </row>
    <row r="58" spans="2:12" x14ac:dyDescent="0.2">
      <c r="B58" s="29"/>
      <c r="C58" s="27"/>
      <c r="D58" s="4" t="s">
        <v>29</v>
      </c>
      <c r="E58" s="4" t="s">
        <v>235</v>
      </c>
      <c r="F58" s="4" t="s">
        <v>24</v>
      </c>
      <c r="G58" s="4" t="s">
        <v>263</v>
      </c>
      <c r="H58" s="8" t="s">
        <v>264</v>
      </c>
      <c r="I58" s="8" t="s">
        <v>74</v>
      </c>
      <c r="J58" s="8" t="s">
        <v>238</v>
      </c>
      <c r="K58" s="7" t="s">
        <v>65</v>
      </c>
      <c r="L58" s="7" t="s">
        <v>239</v>
      </c>
    </row>
    <row r="59" spans="2:12" x14ac:dyDescent="0.2">
      <c r="B59" s="29"/>
      <c r="C59" s="26" t="s">
        <v>186</v>
      </c>
      <c r="D59" s="4"/>
      <c r="E59" s="4" t="s">
        <v>265</v>
      </c>
      <c r="F59" s="4"/>
      <c r="G59" s="4" t="s">
        <v>266</v>
      </c>
      <c r="H59" s="8" t="s">
        <v>64</v>
      </c>
      <c r="I59" s="8" t="s">
        <v>267</v>
      </c>
      <c r="J59" s="8" t="s">
        <v>253</v>
      </c>
      <c r="K59" s="7"/>
      <c r="L59" s="7" t="s">
        <v>97</v>
      </c>
    </row>
    <row r="60" spans="2:12" x14ac:dyDescent="0.2">
      <c r="B60" s="29"/>
      <c r="C60" s="27"/>
      <c r="D60" s="4"/>
      <c r="E60" s="4" t="s">
        <v>213</v>
      </c>
      <c r="F60" s="4"/>
      <c r="G60" s="4" t="s">
        <v>78</v>
      </c>
      <c r="H60" s="8" t="s">
        <v>16</v>
      </c>
      <c r="I60" s="8" t="s">
        <v>213</v>
      </c>
      <c r="J60" s="8" t="s">
        <v>211</v>
      </c>
      <c r="K60" s="7"/>
      <c r="L60" s="7" t="s">
        <v>241</v>
      </c>
    </row>
    <row r="61" spans="2:12" x14ac:dyDescent="0.2">
      <c r="B61" s="29"/>
      <c r="C61" s="26" t="s">
        <v>229</v>
      </c>
      <c r="D61" s="4"/>
      <c r="E61" s="4" t="s">
        <v>268</v>
      </c>
      <c r="F61" s="4"/>
      <c r="G61" s="4" t="s">
        <v>269</v>
      </c>
      <c r="H61" s="8" t="s">
        <v>270</v>
      </c>
      <c r="I61" s="8" t="s">
        <v>271</v>
      </c>
      <c r="J61" s="8" t="s">
        <v>272</v>
      </c>
      <c r="K61" s="7"/>
      <c r="L61" s="7" t="s">
        <v>273</v>
      </c>
    </row>
    <row r="62" spans="2:12" x14ac:dyDescent="0.2">
      <c r="B62" s="29"/>
      <c r="C62" s="27"/>
      <c r="D62" s="4"/>
      <c r="E62" s="4" t="s">
        <v>163</v>
      </c>
      <c r="F62" s="4"/>
      <c r="G62" s="4" t="s">
        <v>274</v>
      </c>
      <c r="H62" s="8" t="s">
        <v>143</v>
      </c>
      <c r="I62" s="8" t="s">
        <v>275</v>
      </c>
      <c r="J62" s="8" t="s">
        <v>89</v>
      </c>
      <c r="K62" s="7"/>
      <c r="L62" s="7" t="s">
        <v>217</v>
      </c>
    </row>
    <row r="63" spans="2:12" x14ac:dyDescent="0.2">
      <c r="B63" s="29"/>
      <c r="C63" s="26" t="s">
        <v>134</v>
      </c>
      <c r="D63" s="4"/>
      <c r="E63" s="4" t="s">
        <v>276</v>
      </c>
      <c r="F63" s="4"/>
      <c r="G63" s="4" t="s">
        <v>277</v>
      </c>
      <c r="H63" s="8" t="s">
        <v>278</v>
      </c>
      <c r="I63" s="8" t="s">
        <v>279</v>
      </c>
      <c r="J63" s="8" t="s">
        <v>280</v>
      </c>
      <c r="K63" s="7"/>
      <c r="L63" s="7" t="s">
        <v>140</v>
      </c>
    </row>
    <row r="64" spans="2:12" x14ac:dyDescent="0.2">
      <c r="B64" s="29"/>
      <c r="C64" s="27"/>
      <c r="D64" s="4"/>
      <c r="E64" s="4" t="s">
        <v>251</v>
      </c>
      <c r="F64" s="4"/>
      <c r="G64" s="4" t="s">
        <v>20</v>
      </c>
      <c r="H64" s="8" t="s">
        <v>222</v>
      </c>
      <c r="I64" s="8" t="s">
        <v>218</v>
      </c>
      <c r="J64" s="8" t="s">
        <v>29</v>
      </c>
      <c r="K64" s="7"/>
      <c r="L64" s="7" t="s">
        <v>213</v>
      </c>
    </row>
    <row r="65" spans="2:12" x14ac:dyDescent="0.2">
      <c r="B65" s="29"/>
      <c r="C65" s="26" t="s">
        <v>149</v>
      </c>
      <c r="D65" s="4"/>
      <c r="E65" s="4" t="s">
        <v>281</v>
      </c>
      <c r="F65" s="4"/>
      <c r="G65" s="4" t="s">
        <v>112</v>
      </c>
      <c r="H65" s="8" t="s">
        <v>282</v>
      </c>
      <c r="I65" s="8" t="s">
        <v>283</v>
      </c>
      <c r="J65" s="8" t="s">
        <v>284</v>
      </c>
      <c r="K65" s="7"/>
      <c r="L65" s="7" t="s">
        <v>285</v>
      </c>
    </row>
    <row r="66" spans="2:12" x14ac:dyDescent="0.2">
      <c r="B66" s="29"/>
      <c r="C66" s="27"/>
      <c r="D66" s="4"/>
      <c r="E66" s="4" t="s">
        <v>210</v>
      </c>
      <c r="F66" s="4"/>
      <c r="G66" s="4" t="s">
        <v>286</v>
      </c>
      <c r="H66" s="8" t="s">
        <v>95</v>
      </c>
      <c r="I66" s="8" t="s">
        <v>287</v>
      </c>
      <c r="J66" s="8" t="s">
        <v>21</v>
      </c>
      <c r="K66" s="7"/>
      <c r="L66" s="7" t="s">
        <v>60</v>
      </c>
    </row>
    <row r="67" spans="2:12" x14ac:dyDescent="0.2">
      <c r="B67" s="29"/>
      <c r="C67" s="3" t="s">
        <v>14</v>
      </c>
      <c r="D67" s="4" t="s">
        <v>38</v>
      </c>
      <c r="E67" s="4" t="s">
        <v>150</v>
      </c>
      <c r="F67" s="4" t="s">
        <v>38</v>
      </c>
      <c r="G67" s="4" t="s">
        <v>150</v>
      </c>
      <c r="H67" s="8" t="s">
        <v>151</v>
      </c>
      <c r="I67" s="8" t="s">
        <v>151</v>
      </c>
      <c r="J67" s="8" t="s">
        <v>151</v>
      </c>
      <c r="K67" s="7" t="s">
        <v>66</v>
      </c>
      <c r="L67" s="7" t="s">
        <v>152</v>
      </c>
    </row>
    <row r="69" spans="2:12" hidden="1" x14ac:dyDescent="0.2">
      <c r="B69" s="28" t="s">
        <v>132</v>
      </c>
      <c r="C69" s="3"/>
      <c r="D69" s="30" t="s">
        <v>0</v>
      </c>
      <c r="E69" s="30"/>
      <c r="F69" s="30" t="s">
        <v>1</v>
      </c>
      <c r="G69" s="30"/>
      <c r="H69" s="8" t="s">
        <v>124</v>
      </c>
      <c r="I69" s="8" t="s">
        <v>125</v>
      </c>
      <c r="J69" s="8" t="s">
        <v>126</v>
      </c>
      <c r="K69" s="30" t="s">
        <v>2</v>
      </c>
      <c r="L69" s="30"/>
    </row>
    <row r="70" spans="2:12" hidden="1" x14ac:dyDescent="0.2">
      <c r="B70" s="29"/>
      <c r="C70" s="26" t="s">
        <v>5</v>
      </c>
      <c r="D70" s="4" t="s">
        <v>6</v>
      </c>
      <c r="E70" s="4" t="s">
        <v>101</v>
      </c>
      <c r="F70" s="4" t="s">
        <v>7</v>
      </c>
      <c r="G70" s="4" t="s">
        <v>102</v>
      </c>
      <c r="H70" s="8" t="s">
        <v>103</v>
      </c>
      <c r="I70" s="8" t="s">
        <v>104</v>
      </c>
      <c r="J70" s="8" t="s">
        <v>105</v>
      </c>
      <c r="K70" s="4" t="s">
        <v>9</v>
      </c>
      <c r="L70" s="4" t="s">
        <v>106</v>
      </c>
    </row>
    <row r="71" spans="2:12" hidden="1" x14ac:dyDescent="0.2">
      <c r="B71" s="29"/>
      <c r="C71" s="27"/>
      <c r="D71" s="4" t="s">
        <v>16</v>
      </c>
      <c r="E71" s="4" t="s">
        <v>30</v>
      </c>
      <c r="F71" s="4" t="s">
        <v>18</v>
      </c>
      <c r="G71" s="4" t="s">
        <v>107</v>
      </c>
      <c r="H71" s="8" t="s">
        <v>94</v>
      </c>
      <c r="I71" s="8" t="s">
        <v>51</v>
      </c>
      <c r="J71" s="8" t="s">
        <v>75</v>
      </c>
      <c r="K71" s="4" t="s">
        <v>22</v>
      </c>
      <c r="L71" s="4" t="s">
        <v>30</v>
      </c>
    </row>
    <row r="72" spans="2:12" hidden="1" x14ac:dyDescent="0.2">
      <c r="B72" s="29"/>
      <c r="C72" s="26" t="s">
        <v>11</v>
      </c>
      <c r="D72" s="4"/>
      <c r="E72" s="4" t="s">
        <v>108</v>
      </c>
      <c r="F72" s="4"/>
      <c r="G72" s="4" t="s">
        <v>109</v>
      </c>
      <c r="H72" s="8" t="s">
        <v>110</v>
      </c>
      <c r="I72" s="8" t="s">
        <v>54</v>
      </c>
      <c r="J72" s="8" t="s">
        <v>55</v>
      </c>
      <c r="K72" s="4"/>
      <c r="L72" s="4" t="s">
        <v>63</v>
      </c>
    </row>
    <row r="73" spans="2:12" hidden="1" x14ac:dyDescent="0.2">
      <c r="B73" s="29"/>
      <c r="C73" s="27"/>
      <c r="D73" s="4"/>
      <c r="E73" s="4" t="s">
        <v>26</v>
      </c>
      <c r="F73" s="4"/>
      <c r="G73" s="4" t="s">
        <v>27</v>
      </c>
      <c r="H73" s="8" t="s">
        <v>57</v>
      </c>
      <c r="I73" s="8" t="s">
        <v>28</v>
      </c>
      <c r="J73" s="8" t="s">
        <v>26</v>
      </c>
      <c r="K73" s="4"/>
      <c r="L73" s="4" t="s">
        <v>26</v>
      </c>
    </row>
    <row r="74" spans="2:12" hidden="1" x14ac:dyDescent="0.2">
      <c r="B74" s="29"/>
      <c r="C74" s="26" t="s">
        <v>111</v>
      </c>
      <c r="D74" s="4"/>
      <c r="E74" s="4" t="s">
        <v>112</v>
      </c>
      <c r="F74" s="4"/>
      <c r="G74" s="4" t="s">
        <v>105</v>
      </c>
      <c r="H74" s="8" t="s">
        <v>113</v>
      </c>
      <c r="I74" s="8" t="s">
        <v>114</v>
      </c>
      <c r="J74" s="8" t="s">
        <v>115</v>
      </c>
      <c r="K74" s="4"/>
      <c r="L74" s="4" t="s">
        <v>93</v>
      </c>
    </row>
    <row r="75" spans="2:12" hidden="1" x14ac:dyDescent="0.2">
      <c r="B75" s="29"/>
      <c r="C75" s="27"/>
      <c r="D75" s="4"/>
      <c r="E75" s="4" t="s">
        <v>116</v>
      </c>
      <c r="F75" s="4"/>
      <c r="G75" s="4" t="s">
        <v>117</v>
      </c>
      <c r="H75" s="8" t="s">
        <v>118</v>
      </c>
      <c r="I75" s="8" t="s">
        <v>119</v>
      </c>
      <c r="J75" s="8" t="s">
        <v>36</v>
      </c>
      <c r="K75" s="4"/>
      <c r="L75" s="4" t="s">
        <v>89</v>
      </c>
    </row>
    <row r="76" spans="2:12" hidden="1" x14ac:dyDescent="0.2">
      <c r="B76" s="29"/>
      <c r="C76" s="3" t="s">
        <v>14</v>
      </c>
      <c r="D76" s="4" t="s">
        <v>38</v>
      </c>
      <c r="E76" s="4" t="s">
        <v>120</v>
      </c>
      <c r="F76" s="4" t="s">
        <v>38</v>
      </c>
      <c r="G76" s="4" t="s">
        <v>120</v>
      </c>
      <c r="H76" s="8" t="s">
        <v>121</v>
      </c>
      <c r="I76" s="8" t="s">
        <v>121</v>
      </c>
      <c r="J76" s="8" t="s">
        <v>121</v>
      </c>
      <c r="K76" s="4" t="s">
        <v>40</v>
      </c>
      <c r="L76" s="4" t="s">
        <v>122</v>
      </c>
    </row>
    <row r="77" spans="2:12" hidden="1" x14ac:dyDescent="0.2"/>
    <row r="78" spans="2:12" hidden="1" x14ac:dyDescent="0.2">
      <c r="B78" s="28" t="s">
        <v>133</v>
      </c>
      <c r="C78" s="3"/>
      <c r="D78" s="30" t="s">
        <v>3</v>
      </c>
      <c r="E78" s="30"/>
      <c r="F78" s="30" t="s">
        <v>4</v>
      </c>
      <c r="G78" s="30"/>
      <c r="H78" s="8" t="s">
        <v>124</v>
      </c>
      <c r="I78" s="8" t="s">
        <v>125</v>
      </c>
      <c r="J78" s="8" t="s">
        <v>126</v>
      </c>
      <c r="K78" s="30" t="s">
        <v>127</v>
      </c>
      <c r="L78" s="30"/>
    </row>
    <row r="79" spans="2:12" hidden="1" x14ac:dyDescent="0.2">
      <c r="B79" s="29"/>
      <c r="C79" s="26" t="s">
        <v>5</v>
      </c>
      <c r="D79" s="4" t="s">
        <v>128</v>
      </c>
      <c r="E79" s="4" t="s">
        <v>231</v>
      </c>
      <c r="F79" s="4" t="s">
        <v>10</v>
      </c>
      <c r="G79" s="4" t="s">
        <v>232</v>
      </c>
      <c r="H79" s="8" t="s">
        <v>114</v>
      </c>
      <c r="I79" s="8" t="s">
        <v>233</v>
      </c>
      <c r="J79" s="8" t="s">
        <v>234</v>
      </c>
      <c r="K79" s="4" t="s">
        <v>64</v>
      </c>
      <c r="L79" s="4" t="s">
        <v>153</v>
      </c>
    </row>
    <row r="80" spans="2:12" hidden="1" x14ac:dyDescent="0.2">
      <c r="B80" s="29"/>
      <c r="C80" s="27"/>
      <c r="D80" s="4" t="s">
        <v>29</v>
      </c>
      <c r="E80" s="4" t="s">
        <v>235</v>
      </c>
      <c r="F80" s="4" t="s">
        <v>24</v>
      </c>
      <c r="G80" s="4" t="s">
        <v>236</v>
      </c>
      <c r="H80" s="8" t="s">
        <v>237</v>
      </c>
      <c r="I80" s="8" t="s">
        <v>74</v>
      </c>
      <c r="J80" s="8" t="s">
        <v>238</v>
      </c>
      <c r="K80" s="4" t="s">
        <v>65</v>
      </c>
      <c r="L80" s="4" t="s">
        <v>239</v>
      </c>
    </row>
    <row r="81" spans="2:12" hidden="1" x14ac:dyDescent="0.2">
      <c r="B81" s="29"/>
      <c r="C81" s="26" t="s">
        <v>186</v>
      </c>
      <c r="D81" s="4"/>
      <c r="E81" s="4" t="s">
        <v>9</v>
      </c>
      <c r="F81" s="4"/>
      <c r="G81" s="4" t="s">
        <v>147</v>
      </c>
      <c r="H81" s="8" t="s">
        <v>240</v>
      </c>
      <c r="I81" s="8" t="s">
        <v>188</v>
      </c>
      <c r="J81" s="8" t="s">
        <v>63</v>
      </c>
      <c r="K81" s="4"/>
      <c r="L81" s="4" t="s">
        <v>96</v>
      </c>
    </row>
    <row r="82" spans="2:12" hidden="1" x14ac:dyDescent="0.2">
      <c r="B82" s="29"/>
      <c r="C82" s="27"/>
      <c r="D82" s="4"/>
      <c r="E82" s="4" t="s">
        <v>16</v>
      </c>
      <c r="F82" s="4"/>
      <c r="G82" s="4" t="s">
        <v>27</v>
      </c>
      <c r="H82" s="8" t="s">
        <v>16</v>
      </c>
      <c r="I82" s="8" t="s">
        <v>16</v>
      </c>
      <c r="J82" s="8" t="s">
        <v>65</v>
      </c>
      <c r="K82" s="4"/>
      <c r="L82" s="4" t="s">
        <v>241</v>
      </c>
    </row>
    <row r="83" spans="2:12" hidden="1" x14ac:dyDescent="0.2">
      <c r="B83" s="29"/>
      <c r="C83" s="26" t="s">
        <v>230</v>
      </c>
      <c r="D83" s="4"/>
      <c r="E83" s="4" t="s">
        <v>242</v>
      </c>
      <c r="F83" s="4"/>
      <c r="G83" s="4" t="s">
        <v>243</v>
      </c>
      <c r="H83" s="8" t="s">
        <v>53</v>
      </c>
      <c r="I83" s="8" t="s">
        <v>244</v>
      </c>
      <c r="J83" s="8" t="s">
        <v>245</v>
      </c>
      <c r="K83" s="4"/>
      <c r="L83" s="4" t="s">
        <v>246</v>
      </c>
    </row>
    <row r="84" spans="2:12" hidden="1" x14ac:dyDescent="0.2">
      <c r="B84" s="29"/>
      <c r="C84" s="27"/>
      <c r="D84" s="4"/>
      <c r="E84" s="4" t="s">
        <v>21</v>
      </c>
      <c r="F84" s="4"/>
      <c r="G84" s="4" t="s">
        <v>247</v>
      </c>
      <c r="H84" s="8" t="s">
        <v>75</v>
      </c>
      <c r="I84" s="8" t="s">
        <v>17</v>
      </c>
      <c r="J84" s="8" t="s">
        <v>98</v>
      </c>
      <c r="K84" s="4"/>
      <c r="L84" s="4" t="s">
        <v>18</v>
      </c>
    </row>
    <row r="85" spans="2:12" hidden="1" x14ac:dyDescent="0.2">
      <c r="B85" s="29"/>
      <c r="C85" s="26" t="s">
        <v>134</v>
      </c>
      <c r="D85" s="4"/>
      <c r="E85" s="4" t="s">
        <v>248</v>
      </c>
      <c r="F85" s="4"/>
      <c r="G85" s="4" t="s">
        <v>142</v>
      </c>
      <c r="H85" s="8" t="s">
        <v>249</v>
      </c>
      <c r="I85" s="8" t="s">
        <v>250</v>
      </c>
      <c r="J85" s="8" t="s">
        <v>148</v>
      </c>
      <c r="K85" s="4"/>
      <c r="L85" s="4" t="s">
        <v>97</v>
      </c>
    </row>
    <row r="86" spans="2:12" hidden="1" x14ac:dyDescent="0.2">
      <c r="B86" s="29"/>
      <c r="C86" s="27"/>
      <c r="D86" s="4"/>
      <c r="E86" s="4" t="s">
        <v>251</v>
      </c>
      <c r="F86" s="4"/>
      <c r="G86" s="4" t="s">
        <v>252</v>
      </c>
      <c r="H86" s="8" t="s">
        <v>129</v>
      </c>
      <c r="I86" s="8" t="s">
        <v>218</v>
      </c>
      <c r="J86" s="8" t="s">
        <v>29</v>
      </c>
      <c r="K86" s="4"/>
      <c r="L86" s="4" t="s">
        <v>213</v>
      </c>
    </row>
    <row r="87" spans="2:12" hidden="1" x14ac:dyDescent="0.2">
      <c r="B87" s="29"/>
      <c r="C87" s="26" t="s">
        <v>141</v>
      </c>
      <c r="D87" s="4"/>
      <c r="E87" s="4" t="s">
        <v>253</v>
      </c>
      <c r="F87" s="4"/>
      <c r="G87" s="4" t="s">
        <v>254</v>
      </c>
      <c r="H87" s="8" t="s">
        <v>255</v>
      </c>
      <c r="I87" s="8" t="s">
        <v>115</v>
      </c>
      <c r="J87" s="8" t="s">
        <v>256</v>
      </c>
      <c r="K87" s="4"/>
      <c r="L87" s="4" t="s">
        <v>257</v>
      </c>
    </row>
    <row r="88" spans="2:12" hidden="1" x14ac:dyDescent="0.2">
      <c r="B88" s="29"/>
      <c r="C88" s="27"/>
      <c r="D88" s="4"/>
      <c r="E88" s="4" t="s">
        <v>258</v>
      </c>
      <c r="F88" s="4"/>
      <c r="G88" s="4" t="s">
        <v>259</v>
      </c>
      <c r="H88" s="8" t="s">
        <v>74</v>
      </c>
      <c r="I88" s="8" t="s">
        <v>51</v>
      </c>
      <c r="J88" s="8" t="s">
        <v>30</v>
      </c>
      <c r="K88" s="4"/>
      <c r="L88" s="4" t="s">
        <v>27</v>
      </c>
    </row>
    <row r="89" spans="2:12" hidden="1" x14ac:dyDescent="0.2">
      <c r="B89" s="29"/>
      <c r="C89" s="3" t="s">
        <v>14</v>
      </c>
      <c r="D89" s="4" t="s">
        <v>38</v>
      </c>
      <c r="E89" s="4" t="s">
        <v>144</v>
      </c>
      <c r="F89" s="4" t="s">
        <v>38</v>
      </c>
      <c r="G89" s="4" t="s">
        <v>144</v>
      </c>
      <c r="H89" s="8" t="s">
        <v>145</v>
      </c>
      <c r="I89" s="8" t="s">
        <v>145</v>
      </c>
      <c r="J89" s="8" t="s">
        <v>145</v>
      </c>
      <c r="K89" s="4" t="s">
        <v>66</v>
      </c>
      <c r="L89" s="4" t="s">
        <v>146</v>
      </c>
    </row>
    <row r="90" spans="2:12" hidden="1" x14ac:dyDescent="0.2"/>
  </sheetData>
  <mergeCells count="64">
    <mergeCell ref="C30:C31"/>
    <mergeCell ref="B34:B45"/>
    <mergeCell ref="D34:E34"/>
    <mergeCell ref="F34:G34"/>
    <mergeCell ref="K34:L34"/>
    <mergeCell ref="C35:C36"/>
    <mergeCell ref="C41:C42"/>
    <mergeCell ref="C43:C44"/>
    <mergeCell ref="C37:C38"/>
    <mergeCell ref="C39:C40"/>
    <mergeCell ref="D25:E25"/>
    <mergeCell ref="F25:G25"/>
    <mergeCell ref="K25:L25"/>
    <mergeCell ref="C26:C27"/>
    <mergeCell ref="C28:C29"/>
    <mergeCell ref="D2:E2"/>
    <mergeCell ref="F2:G2"/>
    <mergeCell ref="K2:L2"/>
    <mergeCell ref="D11:E11"/>
    <mergeCell ref="F11:G11"/>
    <mergeCell ref="K11:L11"/>
    <mergeCell ref="D56:E56"/>
    <mergeCell ref="F56:G56"/>
    <mergeCell ref="K56:L56"/>
    <mergeCell ref="D47:E47"/>
    <mergeCell ref="F47:G47"/>
    <mergeCell ref="K47:L47"/>
    <mergeCell ref="B78:B89"/>
    <mergeCell ref="D69:E69"/>
    <mergeCell ref="F69:G69"/>
    <mergeCell ref="K69:L69"/>
    <mergeCell ref="D78:E78"/>
    <mergeCell ref="F78:G78"/>
    <mergeCell ref="K78:L78"/>
    <mergeCell ref="C79:C80"/>
    <mergeCell ref="C85:C86"/>
    <mergeCell ref="C87:C88"/>
    <mergeCell ref="C70:C71"/>
    <mergeCell ref="C72:C73"/>
    <mergeCell ref="C74:C75"/>
    <mergeCell ref="C81:C82"/>
    <mergeCell ref="C83:C84"/>
    <mergeCell ref="B2:B9"/>
    <mergeCell ref="B11:B22"/>
    <mergeCell ref="B47:B54"/>
    <mergeCell ref="B56:B67"/>
    <mergeCell ref="B69:B76"/>
    <mergeCell ref="B25:B32"/>
    <mergeCell ref="C65:C66"/>
    <mergeCell ref="C3:C4"/>
    <mergeCell ref="C5:C6"/>
    <mergeCell ref="C7:C8"/>
    <mergeCell ref="C12:C13"/>
    <mergeCell ref="C18:C19"/>
    <mergeCell ref="C20:C21"/>
    <mergeCell ref="C48:C49"/>
    <mergeCell ref="C50:C51"/>
    <mergeCell ref="C52:C53"/>
    <mergeCell ref="C57:C58"/>
    <mergeCell ref="C63:C64"/>
    <mergeCell ref="C14:C15"/>
    <mergeCell ref="C16:C17"/>
    <mergeCell ref="C59:C60"/>
    <mergeCell ref="C61:C6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079C1-F4F3-4E3A-8CE8-2113D4F28B6B}">
  <dimension ref="A1:J15"/>
  <sheetViews>
    <sheetView workbookViewId="0">
      <selection activeCell="E46" sqref="E46"/>
    </sheetView>
  </sheetViews>
  <sheetFormatPr baseColWidth="10" defaultColWidth="8.83203125" defaultRowHeight="16" x14ac:dyDescent="0.2"/>
  <cols>
    <col min="1" max="1" width="14.83203125" bestFit="1" customWidth="1"/>
    <col min="2" max="2" width="9.1640625" bestFit="1" customWidth="1"/>
    <col min="3" max="3" width="12.6640625" customWidth="1"/>
    <col min="4" max="4" width="9.5" bestFit="1" customWidth="1"/>
    <col min="7" max="7" width="14.83203125" bestFit="1" customWidth="1"/>
    <col min="8" max="8" width="9.1640625" bestFit="1" customWidth="1"/>
    <col min="9" max="9" width="12.6640625" customWidth="1"/>
    <col min="10" max="10" width="9.5" bestFit="1" customWidth="1"/>
  </cols>
  <sheetData>
    <row r="1" spans="1:10" x14ac:dyDescent="0.2">
      <c r="B1" t="s">
        <v>376</v>
      </c>
      <c r="H1" t="s">
        <v>377</v>
      </c>
    </row>
    <row r="2" spans="1:10" x14ac:dyDescent="0.2">
      <c r="A2" t="s">
        <v>367</v>
      </c>
      <c r="B2">
        <v>0.34200000000000003</v>
      </c>
      <c r="G2" t="s">
        <v>367</v>
      </c>
      <c r="H2">
        <v>5.4610000000000003</v>
      </c>
    </row>
    <row r="3" spans="1:10" x14ac:dyDescent="0.2">
      <c r="A3" t="s">
        <v>368</v>
      </c>
      <c r="B3">
        <v>-1.6E-2</v>
      </c>
      <c r="G3" t="s">
        <v>368</v>
      </c>
      <c r="H3">
        <v>-0.188</v>
      </c>
    </row>
    <row r="4" spans="1:10" x14ac:dyDescent="0.2">
      <c r="A4" t="s">
        <v>369</v>
      </c>
      <c r="B4">
        <v>0</v>
      </c>
      <c r="G4" t="s">
        <v>369</v>
      </c>
      <c r="H4">
        <v>0</v>
      </c>
    </row>
    <row r="5" spans="1:10" x14ac:dyDescent="0.2">
      <c r="A5" t="s">
        <v>370</v>
      </c>
      <c r="B5">
        <v>0.747</v>
      </c>
      <c r="G5" t="s">
        <v>370</v>
      </c>
      <c r="H5">
        <v>1.349</v>
      </c>
    </row>
    <row r="6" spans="1:10" x14ac:dyDescent="0.2">
      <c r="A6" t="s">
        <v>371</v>
      </c>
      <c r="B6">
        <v>-6.6000000000000003E-2</v>
      </c>
      <c r="G6" t="s">
        <v>371</v>
      </c>
      <c r="H6">
        <v>0</v>
      </c>
    </row>
    <row r="7" spans="1:10" x14ac:dyDescent="0.2">
      <c r="A7" t="s">
        <v>372</v>
      </c>
      <c r="B7">
        <v>0</v>
      </c>
      <c r="G7" t="s">
        <v>372</v>
      </c>
      <c r="H7">
        <v>0</v>
      </c>
    </row>
    <row r="10" spans="1:10" x14ac:dyDescent="0.2">
      <c r="A10" t="s">
        <v>375</v>
      </c>
      <c r="B10" t="s">
        <v>366</v>
      </c>
      <c r="C10" t="s">
        <v>374</v>
      </c>
      <c r="D10" t="s">
        <v>373</v>
      </c>
      <c r="G10" t="s">
        <v>375</v>
      </c>
      <c r="H10" t="s">
        <v>366</v>
      </c>
      <c r="I10" t="s">
        <v>374</v>
      </c>
      <c r="J10" t="s">
        <v>373</v>
      </c>
    </row>
    <row r="11" spans="1:10" x14ac:dyDescent="0.2">
      <c r="A11">
        <v>6.2315934999999998</v>
      </c>
      <c r="C11">
        <f>$B$2+$B$5+($B$3+$B$6)*A11</f>
        <v>0.57800933300000001</v>
      </c>
      <c r="G11">
        <v>6.2315934999999998</v>
      </c>
      <c r="I11">
        <f>$H$2+$H$5+($H$3+$H$6)*G11</f>
        <v>5.6384604220000005</v>
      </c>
    </row>
    <row r="12" spans="1:10" x14ac:dyDescent="0.2">
      <c r="A12">
        <v>5.1203884999999998</v>
      </c>
      <c r="C12">
        <f t="shared" ref="C12:C13" si="0">$B$2+$B$5+($B$3+$B$6)*A12</f>
        <v>0.66912814300000001</v>
      </c>
      <c r="G12">
        <v>5.1203884999999998</v>
      </c>
      <c r="I12">
        <f t="shared" ref="I12:I13" si="1">$H$2+$H$5+($H$3+$H$6)*G12</f>
        <v>5.8473669620000006</v>
      </c>
    </row>
    <row r="13" spans="1:10" x14ac:dyDescent="0.2">
      <c r="A13">
        <v>0</v>
      </c>
      <c r="B13">
        <v>0</v>
      </c>
      <c r="C13">
        <f t="shared" si="0"/>
        <v>1.089</v>
      </c>
      <c r="D13">
        <f>$B$2+$B$3*A13</f>
        <v>0.34200000000000003</v>
      </c>
      <c r="G13">
        <v>0</v>
      </c>
      <c r="H13">
        <v>0</v>
      </c>
      <c r="I13">
        <f t="shared" si="1"/>
        <v>6.8100000000000005</v>
      </c>
      <c r="J13">
        <f>$H$2+$H$3*G13</f>
        <v>5.4610000000000003</v>
      </c>
    </row>
    <row r="14" spans="1:10" x14ac:dyDescent="0.2">
      <c r="A14">
        <v>2.1058599999999998</v>
      </c>
      <c r="D14">
        <f t="shared" ref="D14:D15" si="2">$B$2+$B$3*A14</f>
        <v>0.30830624000000001</v>
      </c>
      <c r="G14">
        <v>2.1058599999999998</v>
      </c>
      <c r="J14">
        <f t="shared" ref="J14:J15" si="3">$H$2+$H$3*G14</f>
        <v>5.0650983200000006</v>
      </c>
    </row>
    <row r="15" spans="1:10" x14ac:dyDescent="0.2">
      <c r="A15">
        <v>4.780926</v>
      </c>
      <c r="D15">
        <f t="shared" si="2"/>
        <v>0.26550518400000001</v>
      </c>
      <c r="G15">
        <v>4.780926</v>
      </c>
      <c r="J15">
        <f t="shared" si="3"/>
        <v>4.5621859120000003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15DE7-CAF9-4A3C-99EC-AE501B1448E2}">
  <dimension ref="A1:M47"/>
  <sheetViews>
    <sheetView topLeftCell="A7" zoomScale="70" zoomScaleNormal="70" workbookViewId="0">
      <selection activeCell="D32" sqref="D32"/>
    </sheetView>
  </sheetViews>
  <sheetFormatPr baseColWidth="10" defaultColWidth="8.83203125" defaultRowHeight="16" x14ac:dyDescent="0.2"/>
  <cols>
    <col min="1" max="1" width="27.6640625" bestFit="1" customWidth="1"/>
    <col min="2" max="2" width="18.33203125" bestFit="1" customWidth="1"/>
    <col min="3" max="3" width="25.33203125" customWidth="1"/>
    <col min="4" max="4" width="27.6640625" bestFit="1" customWidth="1"/>
    <col min="7" max="7" width="19" bestFit="1" customWidth="1"/>
  </cols>
  <sheetData>
    <row r="1" spans="1:13" x14ac:dyDescent="0.2">
      <c r="B1" t="s">
        <v>0</v>
      </c>
      <c r="C1" t="s">
        <v>1</v>
      </c>
      <c r="H1" t="s">
        <v>321</v>
      </c>
      <c r="I1" t="s">
        <v>322</v>
      </c>
      <c r="L1" t="s">
        <v>321</v>
      </c>
      <c r="M1" t="s">
        <v>322</v>
      </c>
    </row>
    <row r="2" spans="1:13" x14ac:dyDescent="0.2">
      <c r="A2" t="s">
        <v>5</v>
      </c>
      <c r="B2">
        <v>0.22600000000000001</v>
      </c>
      <c r="C2">
        <v>1.113</v>
      </c>
      <c r="G2" t="s">
        <v>316</v>
      </c>
      <c r="H2">
        <v>2.7743699999999998</v>
      </c>
      <c r="I2">
        <v>2.8641299999999998</v>
      </c>
      <c r="K2" t="s">
        <v>319</v>
      </c>
      <c r="L2">
        <v>5.6759909999999998</v>
      </c>
      <c r="M2">
        <v>0.5556025</v>
      </c>
    </row>
    <row r="3" spans="1:13" x14ac:dyDescent="0.2">
      <c r="A3" t="s">
        <v>11</v>
      </c>
      <c r="B3">
        <v>-4.4999999999999998E-2</v>
      </c>
      <c r="C3">
        <v>-0.22700000000000001</v>
      </c>
      <c r="K3" t="s">
        <v>320</v>
      </c>
      <c r="L3">
        <v>0</v>
      </c>
      <c r="M3">
        <v>0</v>
      </c>
    </row>
    <row r="4" spans="1:13" x14ac:dyDescent="0.2">
      <c r="A4" t="s">
        <v>79</v>
      </c>
      <c r="B4">
        <v>0</v>
      </c>
      <c r="C4">
        <v>0</v>
      </c>
      <c r="G4" t="s">
        <v>323</v>
      </c>
      <c r="H4">
        <v>0.27068130000000001</v>
      </c>
      <c r="I4">
        <v>0.29724149999999999</v>
      </c>
      <c r="K4" t="s">
        <v>319</v>
      </c>
      <c r="L4">
        <v>0.55539000000000005</v>
      </c>
      <c r="M4">
        <v>0.15205959999999999</v>
      </c>
    </row>
    <row r="5" spans="1:13" x14ac:dyDescent="0.2">
      <c r="B5" t="s">
        <v>3</v>
      </c>
      <c r="C5" t="s">
        <v>4</v>
      </c>
      <c r="D5" t="s">
        <v>127</v>
      </c>
      <c r="K5" t="s">
        <v>320</v>
      </c>
      <c r="L5">
        <v>0</v>
      </c>
      <c r="M5">
        <v>0</v>
      </c>
    </row>
    <row r="6" spans="1:13" x14ac:dyDescent="0.2">
      <c r="A6" t="s">
        <v>5</v>
      </c>
      <c r="B6" s="6">
        <v>0.68400000000000005</v>
      </c>
      <c r="C6">
        <v>1.2390000000000001</v>
      </c>
      <c r="D6">
        <v>0</v>
      </c>
      <c r="H6" t="s">
        <v>321</v>
      </c>
      <c r="I6" t="s">
        <v>322</v>
      </c>
      <c r="L6" t="s">
        <v>321</v>
      </c>
      <c r="M6" t="s">
        <v>322</v>
      </c>
    </row>
    <row r="7" spans="1:13" x14ac:dyDescent="0.2">
      <c r="A7" t="s">
        <v>186</v>
      </c>
      <c r="B7">
        <v>-2.5999999999999999E-2</v>
      </c>
      <c r="C7">
        <v>-0.20799999999999999</v>
      </c>
      <c r="D7">
        <v>0</v>
      </c>
      <c r="G7" t="s">
        <v>186</v>
      </c>
      <c r="H7">
        <f>4.662178- 1.488808</f>
        <v>3.1733700000000002</v>
      </c>
      <c r="I7">
        <f>4.662178+1.488808</f>
        <v>6.1509859999999996</v>
      </c>
      <c r="K7" t="s">
        <v>319</v>
      </c>
      <c r="L7">
        <v>5.6759909999999998</v>
      </c>
      <c r="M7">
        <v>0.5556025</v>
      </c>
    </row>
    <row r="8" spans="1:13" x14ac:dyDescent="0.2">
      <c r="A8" t="s">
        <v>134</v>
      </c>
      <c r="B8">
        <v>-5.8000000000000003E-2</v>
      </c>
      <c r="C8">
        <v>0</v>
      </c>
      <c r="D8">
        <v>0</v>
      </c>
      <c r="K8" t="s">
        <v>320</v>
      </c>
      <c r="L8">
        <v>3.4433929999999999</v>
      </c>
      <c r="M8">
        <v>1.3375330000000001</v>
      </c>
    </row>
    <row r="9" spans="1:13" x14ac:dyDescent="0.2">
      <c r="A9" t="s">
        <v>229</v>
      </c>
      <c r="B9">
        <v>0</v>
      </c>
      <c r="C9">
        <v>0</v>
      </c>
      <c r="D9">
        <v>0.49399999999999999</v>
      </c>
      <c r="G9" t="s">
        <v>229</v>
      </c>
      <c r="H9">
        <f>0.5062086-0.1771589</f>
        <v>0.3290497</v>
      </c>
      <c r="I9">
        <f>0.5062086+0.1771589</f>
        <v>0.68336750000000002</v>
      </c>
      <c r="K9" t="s">
        <v>319</v>
      </c>
      <c r="L9">
        <v>0.55539000000000005</v>
      </c>
      <c r="M9">
        <v>0.15205959999999999</v>
      </c>
    </row>
    <row r="10" spans="1:13" x14ac:dyDescent="0.2">
      <c r="A10" t="s">
        <v>149</v>
      </c>
      <c r="B10">
        <v>0</v>
      </c>
      <c r="C10">
        <v>0</v>
      </c>
      <c r="D10">
        <v>-0.109</v>
      </c>
      <c r="K10" t="s">
        <v>320</v>
      </c>
      <c r="L10">
        <v>0.44526110000000002</v>
      </c>
      <c r="M10">
        <v>0.18690109999999999</v>
      </c>
    </row>
    <row r="15" spans="1:13" x14ac:dyDescent="0.2">
      <c r="B15" t="s">
        <v>0</v>
      </c>
    </row>
    <row r="16" spans="1:13" x14ac:dyDescent="0.2">
      <c r="A16" t="s">
        <v>316</v>
      </c>
      <c r="B16" t="s">
        <v>317</v>
      </c>
      <c r="C16" t="s">
        <v>366</v>
      </c>
    </row>
    <row r="17" spans="1:3" x14ac:dyDescent="0.2">
      <c r="A17">
        <f>L2+M2</f>
        <v>6.2315934999999998</v>
      </c>
      <c r="B17">
        <f>$B$2+$B$3*A17</f>
        <v>-5.4421707499999999E-2</v>
      </c>
    </row>
    <row r="18" spans="1:3" x14ac:dyDescent="0.2">
      <c r="A18">
        <f>L2-M2</f>
        <v>5.1203884999999998</v>
      </c>
      <c r="B18">
        <f>$B$2+$B$3*A18</f>
        <v>-4.4174824999999862E-3</v>
      </c>
    </row>
    <row r="19" spans="1:3" x14ac:dyDescent="0.2">
      <c r="A19">
        <v>0</v>
      </c>
      <c r="B19">
        <f>$B$2+$B$3*A19</f>
        <v>0.22600000000000001</v>
      </c>
      <c r="C19">
        <v>0</v>
      </c>
    </row>
    <row r="20" spans="1:3" x14ac:dyDescent="0.2">
      <c r="A20">
        <v>0</v>
      </c>
      <c r="C20">
        <v>0</v>
      </c>
    </row>
    <row r="22" spans="1:3" x14ac:dyDescent="0.2">
      <c r="B22" t="s">
        <v>1</v>
      </c>
    </row>
    <row r="23" spans="1:3" x14ac:dyDescent="0.2">
      <c r="A23" t="s">
        <v>316</v>
      </c>
      <c r="B23" t="s">
        <v>317</v>
      </c>
      <c r="C23" t="s">
        <v>318</v>
      </c>
    </row>
    <row r="24" spans="1:3" x14ac:dyDescent="0.2">
      <c r="A24">
        <f>L7+M7</f>
        <v>6.2315934999999998</v>
      </c>
      <c r="B24">
        <f>$C$2+$C$3*A24</f>
        <v>-0.30157172450000003</v>
      </c>
    </row>
    <row r="25" spans="1:3" x14ac:dyDescent="0.2">
      <c r="A25">
        <f>L7-M7</f>
        <v>5.1203884999999998</v>
      </c>
      <c r="B25">
        <f>$C$2+$C$3*A25</f>
        <v>-4.9328189499999953E-2</v>
      </c>
    </row>
    <row r="26" spans="1:3" x14ac:dyDescent="0.2">
      <c r="A26">
        <v>0</v>
      </c>
      <c r="C26">
        <v>0</v>
      </c>
    </row>
    <row r="27" spans="1:3" x14ac:dyDescent="0.2">
      <c r="A27">
        <v>0</v>
      </c>
      <c r="C27">
        <v>0</v>
      </c>
    </row>
    <row r="33" spans="1:3" x14ac:dyDescent="0.2">
      <c r="B33" t="s">
        <v>3</v>
      </c>
    </row>
    <row r="34" spans="1:3" x14ac:dyDescent="0.2">
      <c r="A34" t="s">
        <v>186</v>
      </c>
      <c r="B34" t="s">
        <v>317</v>
      </c>
      <c r="C34" t="s">
        <v>318</v>
      </c>
    </row>
    <row r="35" spans="1:3" x14ac:dyDescent="0.2">
      <c r="A35">
        <f>L7-M7</f>
        <v>5.1203884999999998</v>
      </c>
      <c r="B35">
        <f>B6+B7*A35+B8*A35</f>
        <v>0.25388736600000006</v>
      </c>
    </row>
    <row r="36" spans="1:3" x14ac:dyDescent="0.2">
      <c r="A36">
        <f>L7+M7</f>
        <v>6.2315934999999998</v>
      </c>
      <c r="B36">
        <f>B6+B7*A36+A36*B8</f>
        <v>0.16054614600000006</v>
      </c>
    </row>
    <row r="37" spans="1:3" x14ac:dyDescent="0.2">
      <c r="A37">
        <v>0</v>
      </c>
      <c r="B37">
        <f>B6+B7*A37+A37*B8</f>
        <v>0.68400000000000005</v>
      </c>
    </row>
    <row r="38" spans="1:3" x14ac:dyDescent="0.2">
      <c r="A38">
        <f>L8-M8</f>
        <v>2.1058599999999998</v>
      </c>
      <c r="C38">
        <f>B7*(A38)</f>
        <v>-5.4752359999999993E-2</v>
      </c>
    </row>
    <row r="39" spans="1:3" x14ac:dyDescent="0.2">
      <c r="A39">
        <f>L8+M8</f>
        <v>4.780926</v>
      </c>
      <c r="C39">
        <f>B7*A39</f>
        <v>-0.124304076</v>
      </c>
    </row>
    <row r="40" spans="1:3" x14ac:dyDescent="0.2">
      <c r="A40">
        <v>0</v>
      </c>
      <c r="C40">
        <f>B7*A40</f>
        <v>0</v>
      </c>
    </row>
    <row r="41" spans="1:3" x14ac:dyDescent="0.2">
      <c r="B41" t="s">
        <v>127</v>
      </c>
    </row>
    <row r="42" spans="1:3" x14ac:dyDescent="0.2">
      <c r="A42" t="s">
        <v>229</v>
      </c>
      <c r="B42" t="s">
        <v>317</v>
      </c>
      <c r="C42" t="s">
        <v>318</v>
      </c>
    </row>
    <row r="43" spans="1:3" x14ac:dyDescent="0.2">
      <c r="A43">
        <f>L9-M9</f>
        <v>0.40333040000000009</v>
      </c>
      <c r="B43">
        <f>D9*A43+D10*A43</f>
        <v>0.15528220400000003</v>
      </c>
    </row>
    <row r="44" spans="1:3" x14ac:dyDescent="0.2">
      <c r="A44">
        <f>L9+M9</f>
        <v>0.70744960000000001</v>
      </c>
      <c r="B44">
        <f>D9*A44+D10*A44</f>
        <v>0.272368096</v>
      </c>
    </row>
    <row r="45" spans="1:3" x14ac:dyDescent="0.2">
      <c r="A45">
        <f>L10-M10</f>
        <v>0.25836000000000003</v>
      </c>
      <c r="C45">
        <f>D9*A45</f>
        <v>0.12762984000000002</v>
      </c>
    </row>
    <row r="46" spans="1:3" x14ac:dyDescent="0.2">
      <c r="A46">
        <f>L10+M10</f>
        <v>0.63216220000000001</v>
      </c>
      <c r="C46">
        <f>D9*A46</f>
        <v>0.31228812680000001</v>
      </c>
    </row>
    <row r="47" spans="1:3" x14ac:dyDescent="0.2">
      <c r="A47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interaction plot (20260608)</vt:lpstr>
      <vt:lpstr>table in paper</vt:lpstr>
      <vt:lpstr>Sheet1</vt:lpstr>
      <vt:lpstr>Sheet3</vt:lpstr>
      <vt:lpstr>interaction plot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Dylan CHEN</dc:creator>
  <cp:lastModifiedBy>Dylan CHEN</cp:lastModifiedBy>
  <dcterms:created xsi:type="dcterms:W3CDTF">2026-05-21T07:24:36Z</dcterms:created>
  <dcterms:modified xsi:type="dcterms:W3CDTF">2026-06-10T09:03:36Z</dcterms:modified>
</cp:coreProperties>
</file>