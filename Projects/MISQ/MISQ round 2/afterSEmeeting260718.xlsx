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ylanchen/Desktop/geek-community/Projects/MISQ/MISQ round 2/"/>
    </mc:Choice>
  </mc:AlternateContent>
  <xr:revisionPtr revIDLastSave="0" documentId="13_ncr:1_{33A450EE-BFCD-5948-B4B5-0CC6C1FD988B}" xr6:coauthVersionLast="47" xr6:coauthVersionMax="47" xr10:uidLastSave="{00000000-0000-0000-0000-000000000000}"/>
  <bookViews>
    <workbookView xWindow="0" yWindow="660" windowWidth="38240" windowHeight="19260" xr2:uid="{30F402B7-E6D8-E34B-8063-713AC97DE139}"/>
  </bookViews>
  <sheets>
    <sheet name="mechanism updated" sheetId="16" r:id="rId1"/>
    <sheet name="mechanism" sheetId="12" r:id="rId2"/>
    <sheet name="mechanism test table" sheetId="14" r:id="rId3"/>
    <sheet name="Results (with table)" sheetId="7" r:id="rId4"/>
    <sheet name="Theory" sheetId="8" r:id="rId5"/>
    <sheet name="Literature Review" sheetId="9" r:id="rId6"/>
    <sheet name="robustness check" sheetId="13" r:id="rId7"/>
    <sheet name="Result" sheetId="10" r:id="rId8"/>
    <sheet name="interaction plot (20260608)" sheetId="6" r:id="rId9"/>
    <sheet name="table in paper" sheetId="3" r:id="rId10"/>
    <sheet name="Sheet1" sheetId="1" r:id="rId11"/>
    <sheet name="Sheet3" sheetId="5" r:id="rId12"/>
    <sheet name="temp text" sheetId="15" r:id="rId13"/>
    <sheet name="interaction plot" sheetId="2" r:id="rId14"/>
  </sheets>
  <definedNames>
    <definedName name="_Hlk194498603" localSheetId="5">'Literature Review'!$A$15</definedName>
    <definedName name="_Ref194135344" localSheetId="3">'Results (with table)'!$N$26</definedName>
    <definedName name="_Ref210225085" localSheetId="3">'Results (with table)'!$D$60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8" i="6" l="1"/>
  <c r="A30" i="6"/>
  <c r="A29" i="6"/>
  <c r="B29" i="6" s="1"/>
  <c r="B30" i="6"/>
  <c r="A19" i="6"/>
  <c r="B19" i="6" s="1"/>
  <c r="A18" i="6"/>
  <c r="B18" i="6"/>
  <c r="B47" i="6"/>
  <c r="C47" i="6"/>
  <c r="A49" i="6"/>
  <c r="C49" i="6" s="1"/>
  <c r="A48" i="6"/>
  <c r="C48" i="6" s="1"/>
  <c r="A45" i="6"/>
  <c r="B45" i="6" s="1"/>
  <c r="A46" i="6"/>
  <c r="B46" i="6" s="1"/>
  <c r="C42" i="6"/>
  <c r="A41" i="6"/>
  <c r="C41" i="6" s="1"/>
  <c r="A40" i="6"/>
  <c r="C40" i="6" s="1"/>
  <c r="B39" i="6"/>
  <c r="A38" i="6"/>
  <c r="B38" i="6" s="1"/>
  <c r="A37" i="6"/>
  <c r="B37" i="6" s="1"/>
  <c r="B20" i="6"/>
  <c r="I10" i="6"/>
  <c r="H10" i="6"/>
  <c r="I8" i="6"/>
  <c r="H8" i="6"/>
  <c r="C11" i="5"/>
  <c r="J14" i="5"/>
  <c r="J15" i="5"/>
  <c r="J13" i="5"/>
  <c r="I12" i="5"/>
  <c r="I13" i="5"/>
  <c r="I11" i="5"/>
  <c r="C12" i="5"/>
  <c r="C13" i="5"/>
  <c r="D14" i="5"/>
  <c r="D15" i="5"/>
  <c r="D13" i="5"/>
  <c r="B37" i="2"/>
  <c r="C40" i="2"/>
  <c r="B19" i="2"/>
  <c r="E53" i="3"/>
  <c r="D53" i="3"/>
  <c r="C53" i="3"/>
  <c r="G52" i="3"/>
  <c r="F52" i="3"/>
  <c r="E52" i="3"/>
  <c r="D52" i="3"/>
  <c r="C52" i="3"/>
  <c r="E51" i="3"/>
  <c r="D51" i="3"/>
  <c r="C51" i="3"/>
  <c r="G50" i="3"/>
  <c r="F50" i="3"/>
  <c r="E50" i="3"/>
  <c r="D50" i="3"/>
  <c r="C50" i="3"/>
  <c r="E61" i="3"/>
  <c r="D61" i="3"/>
  <c r="C61" i="3"/>
  <c r="G60" i="3"/>
  <c r="F60" i="3"/>
  <c r="E60" i="3"/>
  <c r="D60" i="3"/>
  <c r="C60" i="3"/>
  <c r="E59" i="3"/>
  <c r="D59" i="3"/>
  <c r="C59" i="3"/>
  <c r="G58" i="3"/>
  <c r="F58" i="3"/>
  <c r="E58" i="3"/>
  <c r="D58" i="3"/>
  <c r="C58" i="3"/>
  <c r="E57" i="3"/>
  <c r="D57" i="3"/>
  <c r="C57" i="3"/>
  <c r="G56" i="3"/>
  <c r="F56" i="3"/>
  <c r="E56" i="3"/>
  <c r="D56" i="3"/>
  <c r="C56" i="3"/>
  <c r="E55" i="3"/>
  <c r="D55" i="3"/>
  <c r="C55" i="3"/>
  <c r="G54" i="3"/>
  <c r="F54" i="3"/>
  <c r="E54" i="3"/>
  <c r="D54" i="3"/>
  <c r="C54" i="3"/>
  <c r="E49" i="3"/>
  <c r="D49" i="3"/>
  <c r="C49" i="3"/>
  <c r="G48" i="3"/>
  <c r="F48" i="3"/>
  <c r="E48" i="3"/>
  <c r="D48" i="3"/>
  <c r="C48" i="3"/>
  <c r="E47" i="3"/>
  <c r="D47" i="3"/>
  <c r="C47" i="3"/>
  <c r="G46" i="3"/>
  <c r="F46" i="3"/>
  <c r="E46" i="3"/>
  <c r="D46" i="3"/>
  <c r="C46" i="3"/>
  <c r="B43" i="2"/>
  <c r="C46" i="2"/>
  <c r="C45" i="2"/>
  <c r="A25" i="2"/>
  <c r="B25" i="2" s="1"/>
  <c r="A24" i="2"/>
  <c r="B24" i="2" s="1"/>
  <c r="A18" i="2"/>
  <c r="B18" i="2" s="1"/>
  <c r="A17" i="2"/>
  <c r="B17" i="2" s="1"/>
  <c r="A46" i="2"/>
  <c r="A45" i="2"/>
  <c r="A44" i="2"/>
  <c r="B44" i="2" s="1"/>
  <c r="A43" i="2"/>
  <c r="A39" i="2"/>
  <c r="C39" i="2" s="1"/>
  <c r="A38" i="2"/>
  <c r="C38" i="2" s="1"/>
  <c r="A36" i="2"/>
  <c r="B36" i="2" s="1"/>
  <c r="A35" i="2"/>
  <c r="B35" i="2" s="1"/>
  <c r="H7" i="2"/>
  <c r="I9" i="2"/>
  <c r="H9" i="2"/>
  <c r="I7" i="2"/>
</calcChain>
</file>

<file path=xl/sharedStrings.xml><?xml version="1.0" encoding="utf-8"?>
<sst xmlns="http://schemas.openxmlformats.org/spreadsheetml/2006/main" count="2212" uniqueCount="857">
  <si>
    <t>DV: # human answers</t>
  </si>
  <si>
    <t>DV: harzard first human answer</t>
  </si>
  <si>
    <t>DV: human1_human2_similarity</t>
  </si>
  <si>
    <t>DV: # other answers</t>
  </si>
  <si>
    <t>DV: harzard second answer</t>
  </si>
  <si>
    <t>treatment</t>
  </si>
  <si>
    <t>-0.046 ***</t>
  </si>
  <si>
    <t>-0.145 ***</t>
  </si>
  <si>
    <t>1.021 ***</t>
  </si>
  <si>
    <t>-0.024 *</t>
  </si>
  <si>
    <t>0.713 ***</t>
  </si>
  <si>
    <t>treatment:log_textLengthCNAI_fillna</t>
  </si>
  <si>
    <t>-0.104 *</t>
  </si>
  <si>
    <t>treatment:AISimWithAccept_fillna</t>
  </si>
  <si>
    <t>Num. obs.</t>
  </si>
  <si>
    <t>0.092</t>
  </si>
  <si>
    <t>(0.011)</t>
  </si>
  <si>
    <t>(0.083)</t>
  </si>
  <si>
    <t>(0.042)</t>
  </si>
  <si>
    <t>(0.310)</t>
  </si>
  <si>
    <t>(0.097)</t>
  </si>
  <si>
    <t>(0.079)</t>
  </si>
  <si>
    <t>(0.012)</t>
  </si>
  <si>
    <t>(0.502)</t>
  </si>
  <si>
    <t>(0.081)</t>
  </si>
  <si>
    <t>-0.006</t>
  </si>
  <si>
    <t>(0.014)</t>
  </si>
  <si>
    <t>(0.053)</t>
  </si>
  <si>
    <t>(0.017)</t>
  </si>
  <si>
    <t>(0.016)</t>
  </si>
  <si>
    <t>(0.085)</t>
  </si>
  <si>
    <t>0.075</t>
  </si>
  <si>
    <t>0.007</t>
  </si>
  <si>
    <t>(0.048)</t>
  </si>
  <si>
    <t>(0.183)</t>
  </si>
  <si>
    <t>(0.059)</t>
  </si>
  <si>
    <t>(0.056)</t>
  </si>
  <si>
    <t>(0.046)</t>
  </si>
  <si>
    <t>3613</t>
  </si>
  <si>
    <t>3123</t>
  </si>
  <si>
    <t>1162</t>
  </si>
  <si>
    <t>0.000</t>
  </si>
  <si>
    <t>0.076</t>
  </si>
  <si>
    <t>-0.212 *</t>
  </si>
  <si>
    <t>-0.166 *</t>
  </si>
  <si>
    <t>0.412 ***</t>
  </si>
  <si>
    <t>0.418 ***</t>
  </si>
  <si>
    <t>0.369 ***</t>
  </si>
  <si>
    <t>0.341 ***</t>
  </si>
  <si>
    <t>-0.151</t>
  </si>
  <si>
    <t>-0.104</t>
  </si>
  <si>
    <t>(0.104)</t>
  </si>
  <si>
    <t>(0.100)</t>
  </si>
  <si>
    <t>0.008</t>
  </si>
  <si>
    <t>-0.004</t>
  </si>
  <si>
    <t>-0.009</t>
  </si>
  <si>
    <t>-0.003</t>
  </si>
  <si>
    <t>(0.018)</t>
  </si>
  <si>
    <t>(0.061)</t>
  </si>
  <si>
    <t>(0.058)</t>
  </si>
  <si>
    <t>(0.049)</t>
  </si>
  <si>
    <t>2727</t>
  </si>
  <si>
    <t>1160</t>
  </si>
  <si>
    <t>0.001</t>
  </si>
  <si>
    <t>0.029 **</t>
  </si>
  <si>
    <t>(0.009)</t>
  </si>
  <si>
    <t>1913</t>
  </si>
  <si>
    <t>0.226 **</t>
  </si>
  <si>
    <t>1.113 ***</t>
  </si>
  <si>
    <t>-0.045</t>
  </si>
  <si>
    <t>0.022</t>
  </si>
  <si>
    <t>0.011</t>
  </si>
  <si>
    <t>-0.067</t>
  </si>
  <si>
    <t>(0.314)</t>
  </si>
  <si>
    <t>(0.109)</t>
  </si>
  <si>
    <t>(0.087)</t>
  </si>
  <si>
    <t>-0.045 **</t>
  </si>
  <si>
    <t>-0.227 ***</t>
  </si>
  <si>
    <t>(0.052)</t>
  </si>
  <si>
    <t>treatment:AISimWithOpus47_fillna</t>
  </si>
  <si>
    <t>-0.038</t>
  </si>
  <si>
    <t>0.056</t>
  </si>
  <si>
    <t>0.032</t>
  </si>
  <si>
    <t>0.024</t>
  </si>
  <si>
    <t>0.084</t>
  </si>
  <si>
    <t>(0.051)</t>
  </si>
  <si>
    <t>(0.197)</t>
  </si>
  <si>
    <t>(0.070)</t>
  </si>
  <si>
    <t>(0.067)</t>
  </si>
  <si>
    <t>(0.060)</t>
  </si>
  <si>
    <t>3603</t>
  </si>
  <si>
    <t>2720</t>
  </si>
  <si>
    <t>1158</t>
  </si>
  <si>
    <t>0.023</t>
  </si>
  <si>
    <t>(0.108)</t>
  </si>
  <si>
    <t>(0.102)</t>
  </si>
  <si>
    <t>-0.001</t>
  </si>
  <si>
    <t>0.005</t>
  </si>
  <si>
    <t>(0.068)</t>
  </si>
  <si>
    <t>(0.034)</t>
  </si>
  <si>
    <t>1904</t>
  </si>
  <si>
    <t>0.223 **</t>
  </si>
  <si>
    <t>1.158 ***</t>
  </si>
  <si>
    <t>-0.044</t>
  </si>
  <si>
    <t>0.017</t>
  </si>
  <si>
    <t>0.028</t>
  </si>
  <si>
    <t>-0.046</t>
  </si>
  <si>
    <t>(0.313)</t>
  </si>
  <si>
    <t>-0.042 **</t>
  </si>
  <si>
    <t>-0.230 ***</t>
  </si>
  <si>
    <t>0.009</t>
  </si>
  <si>
    <t>treatment:AISimWithDeepseek_fillna</t>
  </si>
  <si>
    <t>-0.050</t>
  </si>
  <si>
    <t>0.025</t>
  </si>
  <si>
    <t>0.034</t>
  </si>
  <si>
    <t>0.050</t>
  </si>
  <si>
    <t>(0.050)</t>
  </si>
  <si>
    <t>(0.192)</t>
  </si>
  <si>
    <t>(0.069)</t>
  </si>
  <si>
    <t>(0.066)</t>
  </si>
  <si>
    <t>3559</t>
  </si>
  <si>
    <t>2700</t>
  </si>
  <si>
    <t>1146</t>
  </si>
  <si>
    <t>-0.020</t>
  </si>
  <si>
    <t>DV: experience</t>
  </si>
  <si>
    <t>DV: insight</t>
  </si>
  <si>
    <t>DV: alternative</t>
  </si>
  <si>
    <t>DV: answer1_answer2_similarity</t>
  </si>
  <si>
    <t>0.347 ***</t>
  </si>
  <si>
    <t>(0.021)</t>
  </si>
  <si>
    <t>AI+AI:Sim w/ Opus (fillNA)
Setup 1</t>
  </si>
  <si>
    <t>AI+AI:Sim w/ Opus (fillNA)
Setup 2</t>
  </si>
  <si>
    <t>AI+AI:Sim w/ Deepseek (fillNA)
Setup 1</t>
  </si>
  <si>
    <t>AI+AI:Sim w/ Deepseek (fillNA)
Setup 2</t>
  </si>
  <si>
    <t>treatment:log_textLengthCN1Ans</t>
  </si>
  <si>
    <t>(0.086)</t>
  </si>
  <si>
    <t>(0.072)</t>
  </si>
  <si>
    <t>2736</t>
  </si>
  <si>
    <t>1909</t>
  </si>
  <si>
    <t>treatment:AISimWithAccept1Ans</t>
  </si>
  <si>
    <t>0.002</t>
  </si>
  <si>
    <t>treatment:SimWithDeepseek1Ans</t>
  </si>
  <si>
    <t>-0.075</t>
  </si>
  <si>
    <t>(0.078)</t>
  </si>
  <si>
    <t>3106</t>
  </si>
  <si>
    <t>1858</t>
  </si>
  <si>
    <t>1862</t>
  </si>
  <si>
    <t>-0.205 ***</t>
  </si>
  <si>
    <t>-0.015</t>
  </si>
  <si>
    <t>treatment:SimWithOpus1Ans</t>
  </si>
  <si>
    <t>3173</t>
  </si>
  <si>
    <t>1883</t>
  </si>
  <si>
    <t>1888</t>
  </si>
  <si>
    <t>0.018</t>
  </si>
  <si>
    <t>0.006</t>
  </si>
  <si>
    <t>0.232</t>
  </si>
  <si>
    <t>-0.377</t>
  </si>
  <si>
    <t>(0.496)</t>
  </si>
  <si>
    <t>(0.484)</t>
  </si>
  <si>
    <t>(0.415)</t>
  </si>
  <si>
    <t>(0.073)</t>
  </si>
  <si>
    <t>(0.812)</t>
  </si>
  <si>
    <t>-0.032</t>
  </si>
  <si>
    <t>(0.071)</t>
  </si>
  <si>
    <t>(0.160)</t>
  </si>
  <si>
    <t>0.211</t>
  </si>
  <si>
    <t>0.142</t>
  </si>
  <si>
    <t>0.754</t>
  </si>
  <si>
    <t>(0.219)</t>
  </si>
  <si>
    <t>(0.214)</t>
  </si>
  <si>
    <t>420</t>
  </si>
  <si>
    <t>114</t>
  </si>
  <si>
    <t>0.304</t>
  </si>
  <si>
    <t>(0.113)</t>
  </si>
  <si>
    <t>406</t>
  </si>
  <si>
    <t>250</t>
  </si>
  <si>
    <t>247</t>
  </si>
  <si>
    <r>
      <t xml:space="preserve">AI+AI:Sim w/ Accept (fillNA)
Setup 1
</t>
    </r>
    <r>
      <rPr>
        <sz val="12"/>
        <color rgb="FFFF0000"/>
        <rFont val="Aptos Narrow (Body)"/>
      </rPr>
      <t>- 对于LLM quality DV：如果这个样本本身就是accepted/most like，剔除
- 对于human1_human2_similarity，如果计算DV涉及到accepted/most like的answer，剔除</t>
    </r>
  </si>
  <si>
    <r>
      <t xml:space="preserve">AI+AI:Sim w/ Accept (fillNA)
Setup 2
</t>
    </r>
    <r>
      <rPr>
        <sz val="12"/>
        <color rgb="FFFF0000"/>
        <rFont val="Aptos Narrow (Body)"/>
      </rPr>
      <t>- 对于LLM quality DV：如果这个样本本身就是accepted/most like，剔除
- 对于answer1_answer2_similarity，如果计算DV涉及到accepted/most like的answer，剔除</t>
    </r>
  </si>
  <si>
    <r>
      <t xml:space="preserve">AI+AI:Sim w/ Accept (fillNA)
Setup 1
- experience/insight/alternative样本限制在first human answer
p.s. </t>
    </r>
    <r>
      <rPr>
        <sz val="12"/>
        <color rgb="FFFF0000"/>
        <rFont val="Aptos Narrow (Body)"/>
      </rPr>
      <t>现在的样本如果涉及accepted/most like，没有剔除。</t>
    </r>
  </si>
  <si>
    <r>
      <t xml:space="preserve">AI+AI:Sim w/ Accept (fillNA)
Setup 2
- contribution DV变成# other answer，也就是control里面从第二个human开始计数。所以treatment正向显著
- experience/insight/alternative样本限制在second answer
p.s. 现在的交互是first answer的质量（可以是AI也可以是人）
p.s. </t>
    </r>
    <r>
      <rPr>
        <sz val="12"/>
        <color rgb="FFFF0000"/>
        <rFont val="Aptos Narrow (Body)"/>
      </rPr>
      <t>现在的样本如果涉及accepted/most like，没有剔除。</t>
    </r>
  </si>
  <si>
    <t>-0.381 **</t>
  </si>
  <si>
    <t>-1.077 *</t>
  </si>
  <si>
    <t>-0.258 *</t>
  </si>
  <si>
    <t>-0.180 .</t>
  </si>
  <si>
    <t>-0.199 ***</t>
  </si>
  <si>
    <t>log_textLengthCN1Ans</t>
  </si>
  <si>
    <t>-0.131 *</t>
  </si>
  <si>
    <t>0.035 ***</t>
  </si>
  <si>
    <t>0.041 ***</t>
  </si>
  <si>
    <t>0.014 .</t>
  </si>
  <si>
    <t>0.012 **</t>
  </si>
  <si>
    <t>-1.117 ***</t>
  </si>
  <si>
    <t>-2.713 ***</t>
  </si>
  <si>
    <t>-0.176 ***</t>
  </si>
  <si>
    <t>-0.159 ***</t>
  </si>
  <si>
    <t>-0.107 **</t>
  </si>
  <si>
    <t>0.167 ***</t>
  </si>
  <si>
    <t>-0.040 *</t>
  </si>
  <si>
    <t>-0.027 .</t>
  </si>
  <si>
    <t>1.228 ***</t>
  </si>
  <si>
    <t>3.232 ***</t>
  </si>
  <si>
    <t>0.577 ***</t>
  </si>
  <si>
    <t>0.570 ***</t>
  </si>
  <si>
    <t>0.449 ***</t>
  </si>
  <si>
    <t>0.684 ***</t>
  </si>
  <si>
    <t>-0.128</t>
  </si>
  <si>
    <t>(0.118)</t>
  </si>
  <si>
    <t>(0.547)</t>
  </si>
  <si>
    <t>(0.111)</t>
  </si>
  <si>
    <t>(0.105)</t>
  </si>
  <si>
    <t>(0.008)</t>
  </si>
  <si>
    <t>(0.057)</t>
  </si>
  <si>
    <t>(0.010)</t>
  </si>
  <si>
    <t>(0.004)</t>
  </si>
  <si>
    <t>(0.043)</t>
  </si>
  <si>
    <t>(0.221)</t>
  </si>
  <si>
    <t>(0.038)</t>
  </si>
  <si>
    <t>(0.019)</t>
  </si>
  <si>
    <t>-0.027</t>
  </si>
  <si>
    <t>-0.023</t>
  </si>
  <si>
    <t>-0.011</t>
  </si>
  <si>
    <t>(0.020)</t>
  </si>
  <si>
    <t>(0.101)</t>
  </si>
  <si>
    <t>(0.015)</t>
  </si>
  <si>
    <t>(0.376)</t>
  </si>
  <si>
    <t>(0.077)</t>
  </si>
  <si>
    <t>(0.029)</t>
  </si>
  <si>
    <t>AISimWithAccept1Ans</t>
  </si>
  <si>
    <t>SimWithOpus1Ans</t>
  </si>
  <si>
    <t>SimWithDeepseek1Ans</t>
  </si>
  <si>
    <t>0.664 ***</t>
  </si>
  <si>
    <t>1.289 *</t>
  </si>
  <si>
    <t>0.089</t>
  </si>
  <si>
    <t>0.094</t>
  </si>
  <si>
    <t>(0.139)</t>
  </si>
  <si>
    <t>(0.541)</t>
  </si>
  <si>
    <t>(0.115)</t>
  </si>
  <si>
    <t>(0.089)</t>
  </si>
  <si>
    <t>(0.055)</t>
  </si>
  <si>
    <t>0.027 *</t>
  </si>
  <si>
    <t>(0.005)</t>
  </si>
  <si>
    <t>-0.082</t>
  </si>
  <si>
    <t>-0.196</t>
  </si>
  <si>
    <t>-0.035</t>
  </si>
  <si>
    <t>0.118 .</t>
  </si>
  <si>
    <t>0.533 ***</t>
  </si>
  <si>
    <t>(0.412)</t>
  </si>
  <si>
    <t>-0.056 *</t>
  </si>
  <si>
    <t>-0.016</t>
  </si>
  <si>
    <t>-0.036 .</t>
  </si>
  <si>
    <t>(0.024)</t>
  </si>
  <si>
    <t>(0.098)</t>
  </si>
  <si>
    <t>0.003</t>
  </si>
  <si>
    <t>-0.102</t>
  </si>
  <si>
    <t>-0.007</t>
  </si>
  <si>
    <t>-0.083</t>
  </si>
  <si>
    <t>-0.174 ***</t>
  </si>
  <si>
    <t>(0.110)</t>
  </si>
  <si>
    <t>(0.508)</t>
  </si>
  <si>
    <t>1.239 *</t>
  </si>
  <si>
    <t>0.071</t>
  </si>
  <si>
    <t>0.080</t>
  </si>
  <si>
    <t>(0.544)</t>
  </si>
  <si>
    <t>(0.116)</t>
  </si>
  <si>
    <t>-0.026 *</t>
  </si>
  <si>
    <t>-0.208 ***</t>
  </si>
  <si>
    <t>0.036 ***</t>
  </si>
  <si>
    <t>-0.025</t>
  </si>
  <si>
    <t>-0.063</t>
  </si>
  <si>
    <t>-0.056</t>
  </si>
  <si>
    <t>-0.108</t>
  </si>
  <si>
    <t>0.093</t>
  </si>
  <si>
    <t>0.494 ***</t>
  </si>
  <si>
    <t>(0.364)</t>
  </si>
  <si>
    <t>(0.074)</t>
  </si>
  <si>
    <t>-0.058 *</t>
  </si>
  <si>
    <t>-0.073</t>
  </si>
  <si>
    <t>-0.018</t>
  </si>
  <si>
    <t>-0.037 .</t>
  </si>
  <si>
    <t>-0.017</t>
  </si>
  <si>
    <t>-0.033</t>
  </si>
  <si>
    <t>0.057</t>
  </si>
  <si>
    <t>0.106</t>
  </si>
  <si>
    <t>-0.031</t>
  </si>
  <si>
    <t>-0.109 *</t>
  </si>
  <si>
    <t>(0.477)</t>
  </si>
  <si>
    <t>(0.096)</t>
  </si>
  <si>
    <t>0.140</t>
  </si>
  <si>
    <t>0.470</t>
  </si>
  <si>
    <t>0.173</t>
  </si>
  <si>
    <t>-0.244</t>
  </si>
  <si>
    <t>(0.466)</t>
  </si>
  <si>
    <t>(0.384)</t>
  </si>
  <si>
    <t>(0.253)</t>
  </si>
  <si>
    <t>0.041 .</t>
  </si>
  <si>
    <t>0.012</t>
  </si>
  <si>
    <t>-0.063 **</t>
  </si>
  <si>
    <t>(0.023)</t>
  </si>
  <si>
    <t>(0.022)</t>
  </si>
  <si>
    <t>-0.168</t>
  </si>
  <si>
    <t>-0.175</t>
  </si>
  <si>
    <t>-0.228 *</t>
  </si>
  <si>
    <t>0.441 *</t>
  </si>
  <si>
    <t>(0.122)</t>
  </si>
  <si>
    <t>(0.093)</t>
  </si>
  <si>
    <t>(0.169)</t>
  </si>
  <si>
    <t>-0.134 .</t>
  </si>
  <si>
    <t>-0.062</t>
  </si>
  <si>
    <t>0.073 .</t>
  </si>
  <si>
    <t>0.472 .</t>
  </si>
  <si>
    <t>0.230</t>
  </si>
  <si>
    <t>(0.252)</t>
  </si>
  <si>
    <t>(0.234)</t>
  </si>
  <si>
    <t>(0.193)</t>
  </si>
  <si>
    <t>(0.209)</t>
  </si>
  <si>
    <t>log_textLengthCNAI_fillna</t>
  </si>
  <si>
    <t>AI Answer</t>
  </si>
  <si>
    <t>Human Answer</t>
  </si>
  <si>
    <t>AI</t>
  </si>
  <si>
    <t>Human</t>
  </si>
  <si>
    <t>mean</t>
  </si>
  <si>
    <t>std</t>
  </si>
  <si>
    <t>AISimWithOpus47_fillna</t>
  </si>
  <si>
    <t>Variable</t>
  </si>
  <si>
    <t>Mean and SD</t>
  </si>
  <si>
    <t>Min</t>
  </si>
  <si>
    <t>Max</t>
  </si>
  <si>
    <t>All samples</t>
  </si>
  <si>
    <t>Treatment group</t>
  </si>
  <si>
    <t>Control group</t>
  </si>
  <si>
    <t>question length (number of Chinese characters)</t>
  </si>
  <si>
    <t>number of human-generated answers received by a question</t>
  </si>
  <si>
    <t>average number of net likes received by all the answers to a question</t>
  </si>
  <si>
    <r>
      <t>AI</t>
    </r>
    <r>
      <rPr>
        <i/>
        <vertAlign val="subscript"/>
        <sz val="10"/>
        <color rgb="FF000000"/>
        <rFont val="Times New Roman"/>
        <family val="1"/>
      </rPr>
      <t>i</t>
    </r>
  </si>
  <si>
    <t>question controls</t>
  </si>
  <si>
    <t>√</t>
  </si>
  <si>
    <t>questioner controls</t>
  </si>
  <si>
    <t>question timing FE</t>
  </si>
  <si>
    <t>N</t>
  </si>
  <si>
    <t>(1)</t>
  </si>
  <si>
    <t>(2)</t>
  </si>
  <si>
    <t>(3)</t>
  </si>
  <si>
    <t>(4)</t>
  </si>
  <si>
    <t>3,613</t>
  </si>
  <si>
    <t>DV:</t>
  </si>
  <si>
    <t>log of the number of human answers provided within 7 days (answerNumi)</t>
  </si>
  <si>
    <t>3,603</t>
  </si>
  <si>
    <t>harzard first human answer (harzardFirstHumani)</t>
  </si>
  <si>
    <t>log of the number of following answers provided within 7 days (answerNumi)</t>
  </si>
  <si>
    <t>harzard second answer (harzardSecondAnsi)</t>
  </si>
  <si>
    <t>3,173</t>
  </si>
  <si>
    <t>similarity between the fisrt answer and the second answer</t>
  </si>
  <si>
    <t>1,913</t>
  </si>
  <si>
    <t>1,888</t>
  </si>
  <si>
    <t>similarity between the second answer to the first answer</t>
  </si>
  <si>
    <t>similarity between the first answer and LLM</t>
  </si>
  <si>
    <t>log of length for AI-generated answer (with 0 filled for control group)</t>
  </si>
  <si>
    <t xml:space="preserve">log of length for the first answer </t>
  </si>
  <si>
    <t>similarity between AI-generated answer and LLM (with 0 filled for control group)</t>
  </si>
  <si>
    <r>
      <t>length1Ans</t>
    </r>
    <r>
      <rPr>
        <i/>
        <vertAlign val="subscript"/>
        <sz val="10"/>
        <color rgb="FF000000"/>
        <rFont val="Times New Roman"/>
        <family val="1"/>
      </rPr>
      <t>i</t>
    </r>
  </si>
  <si>
    <r>
      <t>simWithLLM1Ans</t>
    </r>
    <r>
      <rPr>
        <i/>
        <vertAlign val="subscript"/>
        <sz val="10"/>
        <color rgb="FF000000"/>
        <rFont val="Times New Roman"/>
        <family val="1"/>
      </rPr>
      <t>i</t>
    </r>
  </si>
  <si>
    <r>
      <t>AI</t>
    </r>
    <r>
      <rPr>
        <i/>
        <vertAlign val="subscript"/>
        <sz val="10"/>
        <color rgb="FF000000"/>
        <rFont val="Times New Roman"/>
        <family val="1"/>
      </rPr>
      <t>i</t>
    </r>
    <r>
      <rPr>
        <i/>
        <sz val="10"/>
        <color rgb="FF000000"/>
        <rFont val="Times New Roman"/>
        <family val="1"/>
      </rPr>
      <t xml:space="preserve"> * length1Ans</t>
    </r>
    <r>
      <rPr>
        <i/>
        <vertAlign val="subscript"/>
        <sz val="10"/>
        <color rgb="FF000000"/>
        <rFont val="Times New Roman"/>
        <family val="1"/>
      </rPr>
      <t>i</t>
    </r>
  </si>
  <si>
    <r>
      <t>AI</t>
    </r>
    <r>
      <rPr>
        <i/>
        <vertAlign val="subscript"/>
        <sz val="10"/>
        <color rgb="FF000000"/>
        <rFont val="Times New Roman"/>
        <family val="1"/>
      </rPr>
      <t>i</t>
    </r>
    <r>
      <rPr>
        <i/>
        <sz val="10"/>
        <color rgb="FF000000"/>
        <rFont val="Times New Roman"/>
        <family val="1"/>
      </rPr>
      <t xml:space="preserve"> * simWithLLM1Ans</t>
    </r>
    <r>
      <rPr>
        <i/>
        <vertAlign val="subscript"/>
        <sz val="10"/>
        <color rgb="FF000000"/>
        <rFont val="Times New Roman"/>
        <family val="1"/>
      </rPr>
      <t>i</t>
    </r>
  </si>
  <si>
    <r>
      <t>AI</t>
    </r>
    <r>
      <rPr>
        <i/>
        <vertAlign val="subscript"/>
        <sz val="10"/>
        <color rgb="FF000000"/>
        <rFont val="Times New Roman"/>
        <family val="1"/>
      </rPr>
      <t>i</t>
    </r>
    <r>
      <rPr>
        <i/>
        <sz val="10"/>
        <color rgb="FF000000"/>
        <rFont val="Times New Roman"/>
        <family val="1"/>
      </rPr>
      <t xml:space="preserve"> * AILength</t>
    </r>
    <r>
      <rPr>
        <i/>
        <vertAlign val="subscript"/>
        <sz val="10"/>
        <color rgb="FF000000"/>
        <rFont val="Times New Roman"/>
        <family val="1"/>
      </rPr>
      <t>i</t>
    </r>
  </si>
  <si>
    <r>
      <t>AI</t>
    </r>
    <r>
      <rPr>
        <i/>
        <vertAlign val="subscript"/>
        <sz val="10"/>
        <color rgb="FF000000"/>
        <rFont val="Times New Roman"/>
        <family val="1"/>
      </rPr>
      <t>i</t>
    </r>
    <r>
      <rPr>
        <i/>
        <sz val="10"/>
        <color rgb="FF000000"/>
        <rFont val="Times New Roman"/>
        <family val="1"/>
      </rPr>
      <t xml:space="preserve"> * AISimWithLLM</t>
    </r>
    <r>
      <rPr>
        <i/>
        <vertAlign val="subscript"/>
        <sz val="10"/>
        <color rgb="FF000000"/>
        <rFont val="Times New Roman"/>
        <family val="1"/>
      </rPr>
      <t>i</t>
    </r>
  </si>
  <si>
    <t>No Answer</t>
  </si>
  <si>
    <t>Has1stAns</t>
  </si>
  <si>
    <t>1stLength</t>
  </si>
  <si>
    <t>1stSimTrue</t>
  </si>
  <si>
    <t>1stAI</t>
  </si>
  <si>
    <t>1stAI*1stLength</t>
  </si>
  <si>
    <t>1stAI*1stSimTrue</t>
  </si>
  <si>
    <t>1st Human</t>
  </si>
  <si>
    <t>1st AI</t>
  </si>
  <si>
    <t>Length</t>
  </si>
  <si>
    <t># Answer after 7 days</t>
  </si>
  <si>
    <t>1/Next Answer Time</t>
  </si>
  <si>
    <t>DV:  first human answer quality</t>
  </si>
  <si>
    <t>DV: quality first human answer</t>
  </si>
  <si>
    <t>Reputation</t>
  </si>
  <si>
    <t>Reputation:SimWithOpus1Ans</t>
  </si>
  <si>
    <t>Reputation:log_textLengthCN1Ans</t>
  </si>
  <si>
    <t>(0.007)</t>
  </si>
  <si>
    <t>-0.013</t>
  </si>
  <si>
    <t>0.350 ***</t>
  </si>
  <si>
    <t>2,685</t>
  </si>
  <si>
    <t>-0.120 .</t>
  </si>
  <si>
    <t>DV</t>
  </si>
  <si>
    <t>Contribution (Fast)</t>
  </si>
  <si>
    <t>Answer Quality (Slow)</t>
  </si>
  <si>
    <t>AI Label</t>
  </si>
  <si>
    <r>
      <t xml:space="preserve">H1: </t>
    </r>
    <r>
      <rPr>
        <b/>
        <sz val="16"/>
        <color rgb="FF000000"/>
        <rFont val="Calibri Light"/>
        <family val="2"/>
      </rPr>
      <t>↑</t>
    </r>
  </si>
  <si>
    <r>
      <t xml:space="preserve">H3: </t>
    </r>
    <r>
      <rPr>
        <b/>
        <sz val="16"/>
        <color rgb="FF000000"/>
        <rFont val="Calibri Light"/>
        <family val="2"/>
      </rPr>
      <t>↓</t>
    </r>
  </si>
  <si>
    <t>AI Answer Length</t>
  </si>
  <si>
    <t>—</t>
  </si>
  <si>
    <t>AI Answer Quality</t>
  </si>
  <si>
    <r>
      <t xml:space="preserve">H4: </t>
    </r>
    <r>
      <rPr>
        <b/>
        <sz val="16"/>
        <color rgb="FF000000"/>
        <rFont val="Calibri Light"/>
        <family val="2"/>
      </rPr>
      <t>reverses H3</t>
    </r>
  </si>
  <si>
    <r>
      <t xml:space="preserve">H2: </t>
    </r>
    <r>
      <rPr>
        <b/>
        <sz val="16"/>
        <color rgb="FF000000"/>
        <rFont val="Calibri Light"/>
        <family val="2"/>
      </rPr>
      <t>reverses H1</t>
    </r>
  </si>
  <si>
    <t>Log(answer number in 7 days)</t>
  </si>
  <si>
    <t>First answer quality (LLM)</t>
  </si>
  <si>
    <r>
      <t>AI</t>
    </r>
    <r>
      <rPr>
        <i/>
        <vertAlign val="subscript"/>
        <sz val="10"/>
        <color rgb="FF000000"/>
        <rFont val="Times New Roman"/>
        <family val="1"/>
      </rPr>
      <t>i</t>
    </r>
    <r>
      <rPr>
        <i/>
        <sz val="10"/>
        <color rgb="FF000000"/>
        <rFont val="Times New Roman"/>
        <family val="1"/>
      </rPr>
      <t xml:space="preserve"> * AnswerLength</t>
    </r>
    <r>
      <rPr>
        <i/>
        <vertAlign val="subscript"/>
        <sz val="10"/>
        <color rgb="FF000000"/>
        <rFont val="Times New Roman"/>
        <family val="1"/>
      </rPr>
      <t>i</t>
    </r>
  </si>
  <si>
    <r>
      <t>AI</t>
    </r>
    <r>
      <rPr>
        <i/>
        <vertAlign val="subscript"/>
        <sz val="10"/>
        <color rgb="FF000000"/>
        <rFont val="Times New Roman"/>
        <family val="1"/>
      </rPr>
      <t>i</t>
    </r>
    <r>
      <rPr>
        <i/>
        <sz val="10"/>
        <color rgb="FF000000"/>
        <rFont val="Times New Roman"/>
        <family val="1"/>
      </rPr>
      <t xml:space="preserve"> * AnswerQuality</t>
    </r>
    <r>
      <rPr>
        <i/>
        <vertAlign val="subscript"/>
        <sz val="10"/>
        <color rgb="FF000000"/>
        <rFont val="Times New Roman"/>
        <family val="1"/>
      </rPr>
      <t>i</t>
    </r>
  </si>
  <si>
    <r>
      <t>AI</t>
    </r>
    <r>
      <rPr>
        <i/>
        <vertAlign val="subscript"/>
        <sz val="10"/>
        <color theme="1"/>
        <rFont val="Times New Roman"/>
        <family val="1"/>
      </rPr>
      <t>i</t>
    </r>
  </si>
  <si>
    <t>OLS</t>
  </si>
  <si>
    <t>Poisson</t>
  </si>
  <si>
    <t>ZIP</t>
  </si>
  <si>
    <t>ZINB</t>
  </si>
  <si>
    <r>
      <t>DV: log of the number of human answers provided within 7 days (</t>
    </r>
    <r>
      <rPr>
        <i/>
        <sz val="10"/>
        <color rgb="FF000000"/>
        <rFont val="Times New Roman"/>
        <family val="1"/>
      </rPr>
      <t>answerNum</t>
    </r>
    <r>
      <rPr>
        <i/>
        <vertAlign val="subscript"/>
        <sz val="10"/>
        <color rgb="FF000000"/>
        <rFont val="Times New Roman"/>
        <family val="1"/>
      </rPr>
      <t>i</t>
    </r>
    <r>
      <rPr>
        <sz val="10"/>
        <color rgb="FF000000"/>
        <rFont val="Times New Roman"/>
        <family val="1"/>
      </rPr>
      <t>)</t>
    </r>
  </si>
  <si>
    <t>DV: the number of human answers provided within 7 days</t>
  </si>
  <si>
    <t>other controls</t>
  </si>
  <si>
    <t>questioner random effect</t>
  </si>
  <si>
    <t>AIC</t>
  </si>
  <si>
    <t>BIC</t>
  </si>
  <si>
    <t>log likelihood</t>
  </si>
  <si>
    <t>deviance</t>
  </si>
  <si>
    <t>pseudo R^2</t>
  </si>
  <si>
    <t>(5)</t>
  </si>
  <si>
    <t>Robustness checks: alternative model specifications for human answer supply</t>
  </si>
  <si>
    <t>The impact of AI-generated answers on the answer supply and answer quality</t>
  </si>
  <si>
    <t>DV: log of number of human answers provided within the full observation period</t>
  </si>
  <si>
    <t>DV: log of number of human answers provided within the first N days after the question is posted</t>
  </si>
  <si>
    <r>
      <t>DV: log of number of human answers provided within 7 days (</t>
    </r>
    <r>
      <rPr>
        <i/>
        <sz val="10"/>
        <color rgb="FF000000"/>
        <rFont val="Times New Roman"/>
        <family val="1"/>
      </rPr>
      <t>answerNum</t>
    </r>
    <r>
      <rPr>
        <i/>
        <vertAlign val="subscript"/>
        <sz val="10"/>
        <color rgb="FF000000"/>
        <rFont val="Times New Roman"/>
        <family val="1"/>
      </rPr>
      <t>i</t>
    </r>
    <r>
      <rPr>
        <sz val="10"/>
        <color rgb="FF000000"/>
        <rFont val="Times New Roman"/>
        <family val="1"/>
      </rPr>
      <t>)</t>
    </r>
  </si>
  <si>
    <t>N=3</t>
  </si>
  <si>
    <t>N=7</t>
  </si>
  <si>
    <t>N=14</t>
  </si>
  <si>
    <t>(6)</t>
  </si>
  <si>
    <t>(7)</t>
  </si>
  <si>
    <t>Robustness checks: alternative time frame used in analyses</t>
  </si>
  <si>
    <r>
      <t xml:space="preserve">DV: </t>
    </r>
    <r>
      <rPr>
        <i/>
        <sz val="10"/>
        <color theme="1"/>
        <rFont val="Times New Roman"/>
        <family val="1"/>
      </rPr>
      <t>answerNum</t>
    </r>
    <r>
      <rPr>
        <i/>
        <vertAlign val="subscript"/>
        <sz val="10"/>
        <color theme="1"/>
        <rFont val="Times New Roman"/>
        <family val="1"/>
      </rPr>
      <t>i</t>
    </r>
  </si>
  <si>
    <r>
      <t xml:space="preserve">DV: </t>
    </r>
    <r>
      <rPr>
        <i/>
        <sz val="10"/>
        <color rgb="FF000000"/>
        <rFont val="Times New Roman"/>
        <family val="1"/>
      </rPr>
      <t>netlikeNum</t>
    </r>
    <r>
      <rPr>
        <i/>
        <vertAlign val="subscript"/>
        <sz val="10"/>
        <color rgb="FF000000"/>
        <rFont val="Times New Roman"/>
        <family val="1"/>
      </rPr>
      <t>ij</t>
    </r>
  </si>
  <si>
    <t>post-AI deployment control group indicator</t>
  </si>
  <si>
    <t>controlling for a cubic polynomial of question/answer age</t>
  </si>
  <si>
    <r>
      <t>DV: quality</t>
    </r>
    <r>
      <rPr>
        <i/>
        <vertAlign val="subscript"/>
        <sz val="10"/>
        <color rgb="FF000000"/>
        <rFont val="Times New Roman"/>
        <family val="1"/>
      </rPr>
      <t>ij</t>
    </r>
  </si>
  <si>
    <t>Robustness to the quality of random assignment</t>
  </si>
  <si>
    <t xml:space="preserve">Original coefficient </t>
  </si>
  <si>
    <t xml:space="preserve">Bias-adjusted effect </t>
  </si>
  <si>
    <r>
      <t xml:space="preserve"> for </t>
    </r>
    <r>
      <rPr>
        <i/>
        <sz val="11"/>
        <color theme="1"/>
        <rFont val="Times New Roman"/>
        <family val="1"/>
      </rPr>
      <t>β</t>
    </r>
    <r>
      <rPr>
        <sz val="11"/>
        <color theme="1"/>
        <rFont val="Times New Roman"/>
        <family val="1"/>
      </rPr>
      <t xml:space="preserve">=0 given </t>
    </r>
  </si>
  <si>
    <r>
      <t xml:space="preserve">DV: </t>
    </r>
    <r>
      <rPr>
        <i/>
        <sz val="11"/>
        <color theme="1"/>
        <rFont val="Times New Roman"/>
        <family val="1"/>
      </rPr>
      <t>answerNum</t>
    </r>
    <r>
      <rPr>
        <i/>
        <vertAlign val="subscript"/>
        <sz val="11"/>
        <color theme="1"/>
        <rFont val="Times New Roman"/>
        <family val="1"/>
      </rPr>
      <t>i</t>
    </r>
  </si>
  <si>
    <t>R2</t>
  </si>
  <si>
    <t>R2max</t>
  </si>
  <si>
    <t>Robustness to potential spillover effects</t>
  </si>
  <si>
    <t>1 month</t>
  </si>
  <si>
    <t>2 months</t>
  </si>
  <si>
    <t>3 months</t>
  </si>
  <si>
    <t>The impact of AI-generated answers on the engagement of questioners &amp; viewers</t>
  </si>
  <si>
    <t>(0.027)</t>
  </si>
  <si>
    <t>(0.030)</t>
  </si>
  <si>
    <t>(0.013)</t>
  </si>
  <si>
    <t xml:space="preserve">the logarithm of the number of questioner’s subsequent activities after receiving an answer in </t>
  </si>
  <si>
    <r>
      <t xml:space="preserve">DV: the logarithm of the number of comments the questioner posted in response to answers received by question </t>
    </r>
    <r>
      <rPr>
        <i/>
        <sz val="10"/>
        <color theme="1"/>
        <rFont val="Times New Roman"/>
        <family val="1"/>
      </rPr>
      <t xml:space="preserve">I
</t>
    </r>
    <r>
      <rPr>
        <sz val="10"/>
        <color theme="1"/>
        <rFont val="Times New Roman"/>
        <family val="1"/>
      </rPr>
      <t>(Commenti)</t>
    </r>
  </si>
  <si>
    <r>
      <t xml:space="preserve">DV: the logarithm of the cumulative viewership count for question </t>
    </r>
    <r>
      <rPr>
        <i/>
        <sz val="10"/>
        <color theme="1"/>
        <rFont val="Times New Roman"/>
        <family val="1"/>
      </rPr>
      <t xml:space="preserve">I
</t>
    </r>
    <r>
      <rPr>
        <sz val="10"/>
        <color theme="1"/>
        <rFont val="Times New Roman"/>
        <family val="1"/>
      </rPr>
      <t>(Viewi)</t>
    </r>
  </si>
  <si>
    <t>other DV</t>
  </si>
  <si>
    <t>main results</t>
  </si>
  <si>
    <t>robustness</t>
  </si>
  <si>
    <t>additional analysis</t>
  </si>
  <si>
    <t>Other DV</t>
  </si>
  <si>
    <t>verify weak competitor</t>
  </si>
  <si>
    <t>verify "Fast Signal → Fast Outcome"</t>
  </si>
  <si>
    <t>AI label increase human contribution
AI length decrease human contribution</t>
  </si>
  <si>
    <t>AI lael decrease first human quality
AI quality increase first human quality</t>
  </si>
  <si>
    <t>AI label 加速first human的到来
AI length 减速first human的到来
AI quality 没有影响</t>
  </si>
  <si>
    <t>first human quality increase on what?</t>
  </si>
  <si>
    <t xml:space="preserve">different differientiation direction? </t>
  </si>
  <si>
    <t>AI quality increase Similarity(fisrt human, AI) in AI group</t>
  </si>
  <si>
    <t>question difficulty as moderator</t>
  </si>
  <si>
    <t>other parties: questioner &amp; viewer</t>
  </si>
  <si>
    <t>no impact on questioners and viewers</t>
  </si>
  <si>
    <t>AI lebel 更多地 increase high repuration expert contribution</t>
  </si>
  <si>
    <t>quality increase, how about recognition?</t>
  </si>
  <si>
    <t>netlike decrease, due to elevated expectation</t>
  </si>
  <si>
    <r>
      <t>Contribution = System 1 decision; Quality = System 2 outcome.</t>
    </r>
    <r>
      <rPr>
        <sz val="12"/>
        <color rgb="FF000000"/>
        <rFont val="Aptos Narrow"/>
        <family val="2"/>
        <scheme val="minor"/>
      </rPr>
      <t xml:space="preserve"> Whether to participate is a binary, low-load call that System 1 resolves in seconds. Producing a quality answer requires sustained reading, reasoning, and drafting—a protracted System 2 process.</t>
    </r>
  </si>
  <si>
    <t>Study</t>
  </si>
  <si>
    <t>Community</t>
  </si>
  <si>
    <t>AI Examined</t>
  </si>
  <si>
    <t>Event</t>
  </si>
  <si>
    <t>Research Design</t>
  </si>
  <si>
    <t>User Group Examined</t>
  </si>
  <si>
    <t>Unit of Analysis</t>
  </si>
  <si>
    <t>GenAI Effect</t>
  </si>
  <si>
    <t>Borwankar et al., 2023</t>
  </si>
  <si>
    <t>Stack Overflow</t>
  </si>
  <si>
    <t>ChatGPT</t>
  </si>
  <si>
    <t>GenAI ban</t>
  </si>
  <si>
    <t>Natural Experiment</t>
  </si>
  <si>
    <t>Answerer, Viewer</t>
  </si>
  <si>
    <t>answer-user-day</t>
  </si>
  <si>
    <t>Decrease # of likes</t>
  </si>
  <si>
    <t>Burtch et al., 2023</t>
  </si>
  <si>
    <t>GenAI introduction</t>
  </si>
  <si>
    <t>Questioner</t>
  </si>
  <si>
    <t>topic-week</t>
  </si>
  <si>
    <t>Reduce # of questions</t>
  </si>
  <si>
    <t>del Rio-Chanona et al., 2023</t>
  </si>
  <si>
    <t>Quinn &amp; Gutt, 2023</t>
  </si>
  <si>
    <t>Stack Exchange</t>
  </si>
  <si>
    <t>Sanatizadeh et al., 2023</t>
  </si>
  <si>
    <t>Questioner, Answerer, Viewer</t>
  </si>
  <si>
    <t>post-day</t>
  </si>
  <si>
    <t>Reduce # of views; increase # of likes</t>
  </si>
  <si>
    <t>Shan &amp; Qiu, 2023</t>
  </si>
  <si>
    <t>Answerer</t>
  </si>
  <si>
    <t>user-day</t>
  </si>
  <si>
    <t>Su et al., 2023</t>
  </si>
  <si>
    <t>Quora</t>
  </si>
  <si>
    <t>Internal GenAI</t>
  </si>
  <si>
    <t>question-week</t>
  </si>
  <si>
    <t>Xue et al., 2023</t>
  </si>
  <si>
    <t>topic-day</t>
  </si>
  <si>
    <t>Li &amp; Kim, 2024</t>
  </si>
  <si>
    <t>Reduce # of answers</t>
  </si>
  <si>
    <t>Reduce # of likes</t>
  </si>
  <si>
    <t>Wang &amp; Zheng, 2024</t>
  </si>
  <si>
    <t>Increase # of questions</t>
  </si>
  <si>
    <t>Increase # of views</t>
  </si>
  <si>
    <t>Increase # of answers; make answers shorter and easier to read</t>
  </si>
  <si>
    <t>Make answers shorter, more negative and harder to read</t>
  </si>
  <si>
    <t>Reduce # of questions; make questions more difficult to read</t>
  </si>
  <si>
    <t>Reduce # of answers; make answers longer, more difficult to read</t>
  </si>
  <si>
    <t>Reduce # of questions; make questions longer, more difficult to read</t>
  </si>
  <si>
    <t>Increase # of answers; make answers longer and similar to AI answers</t>
  </si>
  <si>
    <t>Increase # of answers; increase acceptance ratio of answers</t>
  </si>
  <si>
    <t>Reduce # of questions; make questions higher quality (simpler questions disappear)</t>
  </si>
  <si>
    <t>Increase question quality</t>
  </si>
  <si>
    <t>- Length is a fast signal (routine assessment) 
- "Intensity matching" converts physical volume into perceived barrier.
- When perceived cost exceeds perceived benefit, System 1 flips</t>
  </si>
  <si>
    <t>- AI Label is a fast signal, zero-cost "routine assessment". 
- Cause negative emotion (new competitor -&gt; threat, low-quality AI at the time as "availability heuristic" -&gt; 不屑)
- "exaggerated emotional coherence" -&gt; weak competitor
- what's more? "Overconfidence"</t>
  </si>
  <si>
    <t>0.304 **</t>
  </si>
  <si>
    <t>-0.058 ***</t>
  </si>
  <si>
    <t>0.029</t>
  </si>
  <si>
    <t>(0.149)</t>
  </si>
  <si>
    <t>(0.025)</t>
  </si>
  <si>
    <t>-0.060</t>
  </si>
  <si>
    <t>(0.064)</t>
  </si>
  <si>
    <t>(0.088)</t>
  </si>
  <si>
    <t>difficult questions</t>
  </si>
  <si>
    <t>easy questions</t>
  </si>
  <si>
    <t>2,373</t>
  </si>
  <si>
    <t>1,230</t>
  </si>
  <si>
    <t>expert first answer</t>
  </si>
  <si>
    <t>rookie first answer</t>
  </si>
  <si>
    <t>difficult question -&gt; AI weak competitor -&gt; let me answer</t>
  </si>
  <si>
    <t>easy question -&gt; AI even weak still enough</t>
  </si>
  <si>
    <t>difficult question + AI lengthy -&gt; may be comprehensive -&gt; deter</t>
  </si>
  <si>
    <t>easy question + AI length -&gt; AI is enough</t>
  </si>
  <si>
    <t>Test 5 — Effort-proxy outcome test</t>
  </si>
  <si>
    <t>Identity-stakes / expertise moderation</t>
  </si>
  <si>
    <t>Post hoc</t>
  </si>
  <si>
    <t>mechnism</t>
  </si>
  <si>
    <t>verify overconfidence</t>
  </si>
  <si>
    <t>AI label 更多地 decrease high repuration expert quality</t>
  </si>
  <si>
    <t>AI quality 更多地 increase  high repuration expert quality  (out of surprise)</t>
  </si>
  <si>
    <t xml:space="preserve">textual </t>
  </si>
  <si>
    <t>mechanism</t>
  </si>
  <si>
    <t>benchmark</t>
  </si>
  <si>
    <t>- Quality is a slow signal—inaccessible without deliberate reading. 
- High quality triggers "surprise", forcing System 2 to override.
- what's more, professional identity threat is "sufficiently important" to activate System 2
- benchmark</t>
  </si>
  <si>
    <t>- AI label through system 1 output negative affect towards AI. Affect persists as continuous background "mood".
- "Law of least effort" lowers the effort.</t>
  </si>
  <si>
    <t>H1</t>
  </si>
  <si>
    <t>H2</t>
  </si>
  <si>
    <t>H3</t>
  </si>
  <si>
    <t>H4</t>
  </si>
  <si>
    <t>theory</t>
  </si>
  <si>
    <t>weak competitor</t>
  </si>
  <si>
    <t>question complexity subgroup analysis</t>
  </si>
  <si>
    <t>textual analysis</t>
  </si>
  <si>
    <t>supprot or not</t>
  </si>
  <si>
    <t>Y</t>
  </si>
  <si>
    <t>length -&gt; comprehensiveness</t>
  </si>
  <si>
    <t>comprehensiveness -&gt; stronger competition</t>
  </si>
  <si>
    <t>x</t>
  </si>
  <si>
    <t>weak competitor -&gt; least effort</t>
  </si>
  <si>
    <t>difficult and/or rookie subgroup</t>
  </si>
  <si>
    <t>accepted before expert vs. no accepted before</t>
  </si>
  <si>
    <t>high tag number question (more audience) vs. one tag question</t>
  </si>
  <si>
    <t>no "AI" mentioned in comments/answers</t>
  </si>
  <si>
    <t>=======================================================</t>
  </si>
  <si>
    <t xml:space="preserve">                              Median: low  Median: high</t>
  </si>
  <si>
    <t>-------------------------------------------------------</t>
  </si>
  <si>
    <t xml:space="preserve">AI                              0.084        -0.239 *  </t>
  </si>
  <si>
    <t xml:space="preserve">                               (0.128)       (0.108)   </t>
  </si>
  <si>
    <t xml:space="preserve">AI:log_textLengthCNAI_fillna   -0.042 .       0.002    </t>
  </si>
  <si>
    <t xml:space="preserve">                               (0.022)       (0.017)   </t>
  </si>
  <si>
    <t>AI:AISimWithOpus47_fillna       0.254 ***     0.401 ***</t>
  </si>
  <si>
    <t xml:space="preserve">                               (0.075)       (0.055)   </t>
  </si>
  <si>
    <t xml:space="preserve">Num. obs.                     601          1334        </t>
  </si>
  <si>
    <t xml:space="preserve">F statistic (full model)        1.509         1.834    </t>
  </si>
  <si>
    <t xml:space="preserve">F (full model): p-value         0.000         0.000    </t>
  </si>
  <si>
    <t xml:space="preserve">F statistic (proj model)        3.587         4.285    </t>
  </si>
  <si>
    <t xml:space="preserve">F (proj model): p-value         0.000         0.000    </t>
  </si>
  <si>
    <t>*** p &lt; 0.001; ** p &lt; 0.01; * p &lt; 0.05; . p &lt; 0.1</t>
  </si>
  <si>
    <t>=========================================================</t>
  </si>
  <si>
    <t xml:space="preserve">                              Low: zero    High: &gt; median</t>
  </si>
  <si>
    <t>---------------------------------------------------------</t>
  </si>
  <si>
    <t xml:space="preserve">AI                             -0.071        -0.167      </t>
  </si>
  <si>
    <t xml:space="preserve">                               (0.114)       (0.147)     </t>
  </si>
  <si>
    <t xml:space="preserve">AI:log_textLengthCNAI_fillna   -0.019        -0.013      </t>
  </si>
  <si>
    <t xml:space="preserve">                               (0.019)       (0.024)     </t>
  </si>
  <si>
    <t xml:space="preserve">AI:AISimWithOpus47_fillna       0.321 ***     0.407 ***  </t>
  </si>
  <si>
    <t xml:space="preserve">                               (0.079)       (0.061)     </t>
  </si>
  <si>
    <t xml:space="preserve">Num. obs.                     657          1008          </t>
  </si>
  <si>
    <t xml:space="preserve">F statistic (full model)        1.135         1.747      </t>
  </si>
  <si>
    <t xml:space="preserve">F (full model): p-value         0.146         0.000      </t>
  </si>
  <si>
    <t xml:space="preserve">F statistic (proj model)        2.568         4.534      </t>
  </si>
  <si>
    <t xml:space="preserve">F (proj model): p-value         0.000         0.000      </t>
  </si>
  <si>
    <t>high AI quality vs. low AI quality</t>
  </si>
  <si>
    <t xml:space="preserve">                              Low: &lt; mean  High: &gt; mean</t>
  </si>
  <si>
    <t xml:space="preserve">AI                              -0.185 .     -0.222 .  </t>
  </si>
  <si>
    <t xml:space="preserve">                                (0.105)      (0.123)   </t>
  </si>
  <si>
    <t xml:space="preserve">AI:log_textLengthCNAI_fillna     0.006       -0.024    </t>
  </si>
  <si>
    <t xml:space="preserve">                                (0.018)      (0.017)   </t>
  </si>
  <si>
    <t>AI:AISimWithOpus47_fillna        0.253 **     0.580 ***</t>
  </si>
  <si>
    <t xml:space="preserve">                                (0.085)      (0.106)   </t>
  </si>
  <si>
    <t xml:space="preserve">Num. obs.                     1495         1587        </t>
  </si>
  <si>
    <t xml:space="preserve">F statistic (full model)         1.756        1.762    </t>
  </si>
  <si>
    <t xml:space="preserve">F (full model): p-value          0.000        0.000    </t>
  </si>
  <si>
    <t xml:space="preserve">F statistic (proj model)         4.832        3.740    </t>
  </si>
  <si>
    <t xml:space="preserve">F (proj model): p-value          0.000        0.000    </t>
  </si>
  <si>
    <t>high AI quality → high motivation to chase benchmark</t>
  </si>
  <si>
    <t>accepted before → high motivation to outperform benchmark, to excel, to be accepted</t>
  </si>
  <si>
    <t>-0.071</t>
  </si>
  <si>
    <t>(0.114)</t>
  </si>
  <si>
    <t>-0.019</t>
  </si>
  <si>
    <t>0.321 ***</t>
  </si>
  <si>
    <t>0.407 ***</t>
  </si>
  <si>
    <t>-0.167</t>
  </si>
  <si>
    <t>(0.147)</t>
  </si>
  <si>
    <t>657</t>
  </si>
  <si>
    <t>1,008</t>
  </si>
  <si>
    <t>-0.185</t>
  </si>
  <si>
    <t>-0.222</t>
  </si>
  <si>
    <t>(0.123)</t>
  </si>
  <si>
    <t>-0.024</t>
  </si>
  <si>
    <t>0.580 ***</t>
  </si>
  <si>
    <t>0.253 ***</t>
  </si>
  <si>
    <t>(0.106)</t>
  </si>
  <si>
    <t>1,495</t>
  </si>
  <si>
    <t>1,587</t>
  </si>
  <si>
    <t>high quality AI</t>
  </si>
  <si>
    <t>low quality AI</t>
  </si>
  <si>
    <t>Robustness checks: alternative model specifications for human answer quality</t>
  </si>
  <si>
    <t>-0.120*</t>
  </si>
  <si>
    <t>0.349 ***</t>
  </si>
  <si>
    <t>(0.035)</t>
  </si>
  <si>
    <t>(0.054)</t>
  </si>
  <si>
    <t>-459.631</t>
  </si>
  <si>
    <t>666.397</t>
  </si>
  <si>
    <t>420.816</t>
  </si>
  <si>
    <t>0.206 *</t>
  </si>
  <si>
    <t>(0.084)</t>
  </si>
  <si>
    <t>-0.040 **</t>
  </si>
  <si>
    <t>0.579 **</t>
  </si>
  <si>
    <t>(0.199)</t>
  </si>
  <si>
    <t>-0.113 **</t>
  </si>
  <si>
    <t>-0.113 ***</t>
  </si>
  <si>
    <t>-0.118</t>
  </si>
  <si>
    <t>(0.137)</t>
  </si>
  <si>
    <t>0.579*</t>
  </si>
  <si>
    <t>(0.232)</t>
  </si>
  <si>
    <t>(0.152)</t>
  </si>
  <si>
    <t>0.280 *</t>
  </si>
  <si>
    <t>0.205 *</t>
  </si>
  <si>
    <t>0.225 **</t>
  </si>
  <si>
    <t>DV-all</t>
  </si>
  <si>
    <t>DV-3day</t>
  </si>
  <si>
    <t>DV-7day</t>
  </si>
  <si>
    <t>DV-14day</t>
  </si>
  <si>
    <t>(0.121)</t>
  </si>
  <si>
    <t>(0.082)</t>
  </si>
  <si>
    <t>-0.029</t>
  </si>
  <si>
    <t>(0.063)</t>
  </si>
  <si>
    <t>-0.008</t>
  </si>
  <si>
    <t>AI:log_textLengthCNAI_fillna</t>
  </si>
  <si>
    <t>-0.061 **</t>
  </si>
  <si>
    <t>-0.039 **</t>
  </si>
  <si>
    <t>-0.045 ***</t>
  </si>
  <si>
    <t>AI:AISimWithOpus47_fillna</t>
  </si>
  <si>
    <t>-0.051</t>
  </si>
  <si>
    <t>-0.037</t>
  </si>
  <si>
    <t>F statistic (full model)</t>
  </si>
  <si>
    <t>2.841</t>
  </si>
  <si>
    <t>3.014</t>
  </si>
  <si>
    <t>2.978</t>
  </si>
  <si>
    <t>2.964</t>
  </si>
  <si>
    <t>F (full model): p-value</t>
  </si>
  <si>
    <t>F statistic (proj model)</t>
  </si>
  <si>
    <t>9.447</t>
  </si>
  <si>
    <t>10.343</t>
  </si>
  <si>
    <t>10.245</t>
  </si>
  <si>
    <t>10.274</t>
  </si>
  <si>
    <t>F (proj model): p-value</t>
  </si>
  <si>
    <t>within30</t>
  </si>
  <si>
    <t>within60</t>
  </si>
  <si>
    <t>within90</t>
  </si>
  <si>
    <t>0.180</t>
  </si>
  <si>
    <t>0.238 *</t>
  </si>
  <si>
    <t>0.231 *</t>
  </si>
  <si>
    <t>(0.132)</t>
  </si>
  <si>
    <t>(0.095)</t>
  </si>
  <si>
    <t>(0.099)</t>
  </si>
  <si>
    <t>-0.040 .</t>
  </si>
  <si>
    <t>-0.050 **</t>
  </si>
  <si>
    <t>835</t>
  </si>
  <si>
    <t>1599</t>
  </si>
  <si>
    <t>2405</t>
  </si>
  <si>
    <t>2.029</t>
  </si>
  <si>
    <t>2.092</t>
  </si>
  <si>
    <t>2.468</t>
  </si>
  <si>
    <t>3.214</t>
  </si>
  <si>
    <t>3.989</t>
  </si>
  <si>
    <t>6.100</t>
  </si>
  <si>
    <t>-0.106</t>
  </si>
  <si>
    <t>-0.152 .</t>
  </si>
  <si>
    <t>(0.080)</t>
  </si>
  <si>
    <t>0.368 ***</t>
  </si>
  <si>
    <t>0.406 ***</t>
  </si>
  <si>
    <t>0.364 ***</t>
  </si>
  <si>
    <t>639</t>
  </si>
  <si>
    <t>1218</t>
  </si>
  <si>
    <t>1844</t>
  </si>
  <si>
    <t>2.224</t>
  </si>
  <si>
    <t>3.202</t>
  </si>
  <si>
    <t>2.910</t>
  </si>
  <si>
    <t>4.105</t>
  </si>
  <si>
    <t>6.287</t>
  </si>
  <si>
    <t>7.152</t>
  </si>
  <si>
    <t>30 days sample</t>
  </si>
  <si>
    <t>60 days sample</t>
  </si>
  <si>
    <t>90 days sample</t>
  </si>
  <si>
    <t>- (the same as H1 weak competitor)</t>
  </si>
  <si>
    <t>expertise analysis: above mean subgroup</t>
  </si>
  <si>
    <t>exptertise analysis: top25%/top20% subgroup</t>
  </si>
  <si>
    <t>=====================================================</t>
  </si>
  <si>
    <t xml:space="preserve">                                  DV: human 1 quality</t>
  </si>
  <si>
    <t>-----------------------------------------------------</t>
  </si>
  <si>
    <t xml:space="preserve">AI                                  -0.073           </t>
  </si>
  <si>
    <t xml:space="preserve">AI:log_textLengthCNAI_fillna        -0.007           </t>
  </si>
  <si>
    <t xml:space="preserve">AI:AISimWithOpus47_fillna           -0.030           </t>
  </si>
  <si>
    <t xml:space="preserve">AI:AISimWithOpus47_fillna_power2     0.361 *         </t>
  </si>
  <si>
    <t xml:space="preserve">Num. obs.                         2017               </t>
  </si>
  <si>
    <t xml:space="preserve">F statistic (full model)             2.199           </t>
  </si>
  <si>
    <t xml:space="preserve">F (full model): p-value              0.000           </t>
  </si>
  <si>
    <t xml:space="preserve">F statistic (proj model)             5.987           </t>
  </si>
  <si>
    <t xml:space="preserve">F (proj model): p-value              0.000           </t>
  </si>
  <si>
    <t>second answer quality (LLM)</t>
  </si>
  <si>
    <t>+</t>
  </si>
  <si>
    <t>=============================================================</t>
  </si>
  <si>
    <t xml:space="preserve">                                DV: quality2Ans              </t>
  </si>
  <si>
    <t>-------------------------------------------------------------</t>
  </si>
  <si>
    <t xml:space="preserve">treatment                          0.193            0.738    </t>
  </si>
  <si>
    <t xml:space="preserve">                                  (0.123)          (1.008)   </t>
  </si>
  <si>
    <t xml:space="preserve">log_textLengthCN1Ans                               -0.029    </t>
  </si>
  <si>
    <t xml:space="preserve">                                                   (0.075)   </t>
  </si>
  <si>
    <t>SimWithOpus1Ans                                     2.434 ***</t>
  </si>
  <si>
    <t xml:space="preserve">                                                   (0.575)   </t>
  </si>
  <si>
    <t xml:space="preserve">treatment:log_textLengthCN1Ans                      0.017    </t>
  </si>
  <si>
    <t xml:space="preserve">                                                   (0.175)   </t>
  </si>
  <si>
    <t xml:space="preserve">treatment:SimWithOpus1Ans                          -1.551 *  </t>
  </si>
  <si>
    <t xml:space="preserve">                                                   (0.713)   </t>
  </si>
  <si>
    <t xml:space="preserve">Num. obs.                       1419             1403        </t>
  </si>
  <si>
    <t xml:space="preserve">F statistic (full model)           1.204            1.279    </t>
  </si>
  <si>
    <t xml:space="preserve">F (full model): p-value            0.043            0.011    </t>
  </si>
  <si>
    <t xml:space="preserve">F statistic (proj model)           2.751            2.893    </t>
  </si>
  <si>
    <t xml:space="preserve">F (proj model): p-value            0.000            0.000    </t>
  </si>
  <si>
    <t>alternative explanation to rule out</t>
  </si>
  <si>
    <t>Test A — Differentiate from question viability signaling (most important first step)</t>
  </si>
  <si>
    <t>Test D — Rule out alternative: excitement/competitive arousal</t>
  </si>
  <si>
    <t>control for comprehensive, length become non-significant</t>
  </si>
  <si>
    <t>insights</t>
  </si>
  <si>
    <r>
      <t xml:space="preserve">b/c &gt; a (a) humans believe AI answers are low quality in general, (b) humans believe AI answers are weak for </t>
    </r>
    <r>
      <rPr>
        <i/>
        <sz val="12"/>
        <color rgb="FF000000"/>
        <rFont val="Aptos Narrow"/>
        <family val="2"/>
        <scheme val="minor"/>
      </rPr>
      <t>this type</t>
    </r>
    <r>
      <rPr>
        <sz val="12"/>
        <color rgb="FF000000"/>
        <rFont val="Aptos Narrow"/>
        <family val="2"/>
        <scheme val="minor"/>
      </rPr>
      <t xml:space="preserve"> of question, or (c) humans feel confident they can produce something better regardless of AI quality.</t>
    </r>
  </si>
  <si>
    <t>higher AI quality, higher boost</t>
  </si>
  <si>
    <t>boost by differentiation</t>
  </si>
  <si>
    <t>You should frame this as a label-content divergence rather than treating the two findings in isolation.</t>
  </si>
  <si>
    <t>selection vs. behavior</t>
  </si>
  <si>
    <t>===============================================</t>
  </si>
  <si>
    <t xml:space="preserve">                          DV: human 1 expertise</t>
  </si>
  <si>
    <t>-----------------------------------------------</t>
  </si>
  <si>
    <t xml:space="preserve">AI                           0.076             </t>
  </si>
  <si>
    <t xml:space="preserve">Num. obs.                 2748                 </t>
  </si>
  <si>
    <t xml:space="preserve">F statistic (full model)     2.366             </t>
  </si>
  <si>
    <t xml:space="preserve">F (full model): p-value      0.000             </t>
  </si>
  <si>
    <t xml:space="preserve">F statistic (proj model)    19.686             </t>
  </si>
  <si>
    <t xml:space="preserve">F (proj model): p-value      0.000             </t>
  </si>
  <si>
    <t xml:space="preserve">                            (0.070)            </t>
  </si>
  <si>
    <t>================================================================</t>
  </si>
  <si>
    <t>----------------------------------------------------------------</t>
  </si>
  <si>
    <t xml:space="preserve">                                             DV: human 1 quality</t>
  </si>
  <si>
    <t xml:space="preserve">AI                                             -0.013           </t>
  </si>
  <si>
    <t xml:space="preserve">                                               (0.062)          </t>
  </si>
  <si>
    <t xml:space="preserve">AI:log_textLengthCNAI_fillna                   -0.009           </t>
  </si>
  <si>
    <t xml:space="preserve">                                               (0.011)          </t>
  </si>
  <si>
    <t xml:space="preserve">AI:AISimWithOpus47_fillna_groupQ2: mid-low      0.055 ***       </t>
  </si>
  <si>
    <t xml:space="preserve">                                               (0.014)          </t>
  </si>
  <si>
    <t xml:space="preserve">AI:AISimWithOpus47_fillna_groupQ3: mid-high     0.074 ***       </t>
  </si>
  <si>
    <t xml:space="preserve">                                               (0.015)          </t>
  </si>
  <si>
    <t xml:space="preserve">AI:AISimWithOpus47_fillna_groupQ4: high         0.141 ***       </t>
  </si>
  <si>
    <t xml:space="preserve">Num. obs.                                    2685               </t>
  </si>
  <si>
    <t>=================================================</t>
  </si>
  <si>
    <t xml:space="preserve">                              DV: # human answers</t>
  </si>
  <si>
    <t>-------------------------------------------------</t>
  </si>
  <si>
    <t xml:space="preserve">AI                               0.153 .         </t>
  </si>
  <si>
    <t xml:space="preserve">AI:log_textLengthCNAI_fillna    -0.028 .         </t>
  </si>
  <si>
    <t xml:space="preserve">AI:AISimWithOpus47_fillna       -0.050           </t>
  </si>
  <si>
    <t xml:space="preserve">Num. obs.                     3603               </t>
  </si>
  <si>
    <t xml:space="preserve">F statistic (full model)         2.997           </t>
  </si>
  <si>
    <t xml:space="preserve">F (full model): p-value          0.000           </t>
  </si>
  <si>
    <t xml:space="preserve">F statistic (proj model)        10.164           </t>
  </si>
  <si>
    <t xml:space="preserve">F (proj model): p-value          0.000           </t>
  </si>
  <si>
    <t xml:space="preserve">                                (0.091)          </t>
  </si>
  <si>
    <t xml:space="preserve">                                (0.003)          </t>
  </si>
  <si>
    <t xml:space="preserve">                                (0.016)          </t>
  </si>
  <si>
    <t xml:space="preserve">                                (0.051)          </t>
  </si>
  <si>
    <t>==================================================================================================</t>
  </si>
  <si>
    <t xml:space="preserve">                                                         DV: # human answers  DV: # human answers </t>
  </si>
  <si>
    <t>--------------------------------------------------------------------------------------------------</t>
  </si>
  <si>
    <t xml:space="preserve">AI                                                          0.226 **             0.249 **         </t>
  </si>
  <si>
    <t xml:space="preserve">                                                           (0.083)              (0.094)           </t>
  </si>
  <si>
    <t xml:space="preserve">AI:log_textLengthCNAI_fillna                               -0.045 **            -0.042 **         </t>
  </si>
  <si>
    <t xml:space="preserve">                                                           (0.014)              (0.016)           </t>
  </si>
  <si>
    <t xml:space="preserve">AI:AISimWithOpus47_fillna                                  -0.038               -0.072            </t>
  </si>
  <si>
    <t xml:space="preserve">                                                           (0.051)              (0.066)           </t>
  </si>
  <si>
    <t xml:space="preserve">AIcomprehensiveness_fillna                                                      -0.128 **         </t>
  </si>
  <si>
    <t xml:space="preserve">                                                                                (0.045)           </t>
  </si>
  <si>
    <t xml:space="preserve">AI:AIcomprehensiveness_fillna                                                                     </t>
  </si>
  <si>
    <t xml:space="preserve">                                                                                                  </t>
  </si>
  <si>
    <t xml:space="preserve">AI:log_textLengthCNAI_fillna:AIcomprehensiveness_fillna                          0.019 **         </t>
  </si>
  <si>
    <t xml:space="preserve">                                                                                (0.007)           </t>
  </si>
  <si>
    <t xml:space="preserve">AI:AISimWithOpus47_fillna:AIcomprehensiveness_fillna                             0.012            </t>
  </si>
  <si>
    <t xml:space="preserve">                                                                                (0.018)           </t>
  </si>
  <si>
    <t xml:space="preserve">Num. obs.                                                3603                 3603                </t>
  </si>
  <si>
    <t xml:space="preserve">AI:AIcomprehensiveness_fillna      -0.007 *         </t>
  </si>
  <si>
    <t>length as a cue to identify:</t>
  </si>
  <si>
    <t>1. opportunity for filling a gap (contribute sth AI does not cover)</t>
  </si>
  <si>
    <t>versus 2. opportunity to outperform (contribute higher quality than AI)</t>
  </si>
  <si>
    <t>length -&gt; higher quality or higher coverage</t>
  </si>
  <si>
    <t>length -&gt; higher quality: harder to outperform</t>
  </si>
  <si>
    <t>length -&gt; higher coverage: harder to contribute new</t>
  </si>
  <si>
    <t>Column 1: AI + AI length</t>
  </si>
  <si>
    <t>Column 2: AI + AI length + AI quality</t>
  </si>
  <si>
    <t>length -&gt; whether to contribute</t>
  </si>
  <si>
    <t>Column 3: AI + AI length + AI comprehensiveness</t>
  </si>
  <si>
    <t>AI label -&gt; whether to contribute</t>
  </si>
  <si>
    <t>hypothesis</t>
  </si>
  <si>
    <t>tests</t>
  </si>
  <si>
    <t>mechanisms</t>
  </si>
  <si>
    <r>
      <t xml:space="preserve">users perceive AI as a </t>
    </r>
    <r>
      <rPr>
        <b/>
        <sz val="12"/>
        <color theme="1"/>
        <rFont val="Aptos Narrow"/>
        <scheme val="minor"/>
      </rPr>
      <t>weak competitor</t>
    </r>
  </si>
  <si>
    <t>remark</t>
  </si>
  <si>
    <r>
      <t xml:space="preserve">b/c &gt; a (a) humans believe AI answers are low quality in general, (b) humans believe AI answers are weak for </t>
    </r>
    <r>
      <rPr>
        <i/>
        <sz val="12"/>
        <color theme="2" tint="-9.9978637043366805E-2"/>
        <rFont val="Aptos Narrow"/>
        <family val="2"/>
        <scheme val="minor"/>
      </rPr>
      <t>this type</t>
    </r>
    <r>
      <rPr>
        <sz val="12"/>
        <color theme="2" tint="-9.9978637043366805E-2"/>
        <rFont val="Aptos Narrow"/>
        <family val="2"/>
        <scheme val="minor"/>
      </rPr>
      <t xml:space="preserve"> of question, or (c) humans feel confident they can produce something better regardless of AI quality.</t>
    </r>
  </si>
  <si>
    <t>length -&gt; perceived higher quality -&gt; harder to outperform</t>
  </si>
  <si>
    <t>control for AI answer quality, length coeff. doesn't change</t>
  </si>
  <si>
    <t>control for AI answer topic coverage, length become non-significant</t>
  </si>
  <si>
    <t>length -&gt; perceived higher topic coverage -&gt; harder to contribute new</t>
  </si>
  <si>
    <t>AI quality -&gt; user contribution quality</t>
  </si>
  <si>
    <t>AI label -&gt; user contribution quality</t>
  </si>
  <si>
    <t>AI label -&gt; weak competitor -&gt; least effort</t>
  </si>
  <si>
    <t>goal-setting</t>
  </si>
  <si>
    <t>AI quality as a benchmark (goal setting)</t>
  </si>
  <si>
    <t>selection: high AI quality -&gt; contribution from high quality users</t>
  </si>
  <si>
    <t>spillover: high AI quality -&gt; human users borrow from AI answers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</si>
</sst>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 x14ac:knownFonts="1">
    <font>
      <sz val="12"/>
      <color theme="1"/>
      <name val="Aptos Narrow"/>
      <family val="2"/>
      <scheme val="minor"/>
    </font>
    <font>
      <sz val="12"/>
      <color rgb="FFFF0000"/>
      <name val="Aptos Narrow (Body)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Georgia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i/>
      <sz val="10"/>
      <color rgb="FF000000"/>
      <name val="Times New Roman"/>
      <family val="1"/>
    </font>
    <font>
      <i/>
      <vertAlign val="subscript"/>
      <sz val="10"/>
      <color rgb="FF000000"/>
      <name val="Times New Roman"/>
      <family val="1"/>
    </font>
    <font>
      <sz val="16"/>
      <color rgb="FF000000"/>
      <name val="Calibri Light"/>
      <family val="2"/>
    </font>
    <font>
      <b/>
      <sz val="16"/>
      <color rgb="FF000000"/>
      <name val="Calibri Light"/>
      <family val="2"/>
    </font>
    <font>
      <sz val="10"/>
      <color theme="1"/>
      <name val="DengXian"/>
      <family val="4"/>
      <charset val="134"/>
    </font>
    <font>
      <i/>
      <sz val="10"/>
      <color theme="1"/>
      <name val="Times New Roman"/>
      <family val="1"/>
    </font>
    <font>
      <i/>
      <vertAlign val="subscript"/>
      <sz val="10"/>
      <color theme="1"/>
      <name val="Times New Roman"/>
      <family val="1"/>
    </font>
    <font>
      <b/>
      <sz val="11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DengXian"/>
      <family val="4"/>
      <charset val="134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i/>
      <vertAlign val="subscript"/>
      <sz val="11"/>
      <color theme="1"/>
      <name val="Times New Roman"/>
      <family val="1"/>
    </font>
    <font>
      <sz val="16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6"/>
      <color rgb="FFFF0000"/>
      <name val="Aptos Narrow"/>
      <family val="2"/>
      <scheme val="minor"/>
    </font>
    <font>
      <sz val="16"/>
      <color rgb="FFFFC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9"/>
      <color rgb="FF000000"/>
      <name val="Times New Roman"/>
      <family val="1"/>
    </font>
    <font>
      <sz val="9"/>
      <color rgb="FF000000"/>
      <name val="Times New Roman"/>
      <family val="1"/>
    </font>
    <font>
      <sz val="9"/>
      <color rgb="FFFF0000"/>
      <name val="Times New Roman"/>
      <family val="1"/>
    </font>
    <font>
      <sz val="16"/>
      <color theme="9"/>
      <name val="Aptos Narrow"/>
      <family val="2"/>
      <scheme val="minor"/>
    </font>
    <font>
      <sz val="12"/>
      <color theme="1"/>
      <name val="Courier New"/>
      <family val="1"/>
    </font>
    <font>
      <sz val="12"/>
      <color theme="1"/>
      <name val="Aptos Narrow"/>
      <scheme val="minor"/>
    </font>
    <font>
      <b/>
      <sz val="12"/>
      <color rgb="FFFF0000"/>
      <name val="Aptos Narrow"/>
      <family val="2"/>
      <scheme val="minor"/>
    </font>
    <font>
      <sz val="8"/>
      <color theme="1"/>
      <name val="Courier New"/>
      <family val="1"/>
    </font>
    <font>
      <sz val="12"/>
      <color theme="5"/>
      <name val="Aptos Narrow"/>
      <family val="2"/>
      <scheme val="minor"/>
    </font>
    <font>
      <i/>
      <sz val="12"/>
      <color rgb="FF000000"/>
      <name val="Aptos Narrow"/>
      <family val="2"/>
      <scheme val="minor"/>
    </font>
    <font>
      <sz val="12"/>
      <color theme="5"/>
      <name val="Courier New"/>
      <family val="1"/>
    </font>
    <font>
      <sz val="12"/>
      <color theme="2" tint="-9.9978637043366805E-2"/>
      <name val="Aptos Narrow"/>
      <family val="2"/>
      <scheme val="minor"/>
    </font>
    <font>
      <b/>
      <sz val="12"/>
      <color theme="1"/>
      <name val="Aptos Narrow"/>
      <scheme val="minor"/>
    </font>
    <font>
      <i/>
      <sz val="12"/>
      <color theme="2" tint="-9.9978637043366805E-2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25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/>
    </xf>
    <xf numFmtId="49" fontId="0" fillId="0" borderId="1" xfId="0" applyNumberFormat="1" applyBorder="1"/>
    <xf numFmtId="49" fontId="0" fillId="0" borderId="1" xfId="0" applyNumberForma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3" fillId="0" borderId="0" xfId="0" applyFont="1"/>
    <xf numFmtId="49" fontId="3" fillId="0" borderId="1" xfId="0" applyNumberFormat="1" applyFont="1" applyBorder="1" applyAlignment="1">
      <alignment horizontal="center"/>
    </xf>
    <xf numFmtId="49" fontId="0" fillId="2" borderId="1" xfId="0" applyNumberFormat="1" applyFill="1" applyBorder="1" applyAlignment="1">
      <alignment horizontal="center"/>
    </xf>
    <xf numFmtId="49" fontId="0" fillId="2" borderId="0" xfId="0" applyNumberFormat="1" applyFill="1" applyAlignment="1">
      <alignment horizontal="center"/>
    </xf>
    <xf numFmtId="49" fontId="0" fillId="0" borderId="0" xfId="0" applyNumberFormat="1" applyAlignment="1">
      <alignment horizontal="left" vertical="center"/>
    </xf>
    <xf numFmtId="49" fontId="2" fillId="0" borderId="0" xfId="0" applyNumberFormat="1" applyFont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49" fontId="6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vertical="center"/>
    </xf>
    <xf numFmtId="49" fontId="4" fillId="0" borderId="0" xfId="0" applyNumberFormat="1" applyFont="1" applyAlignment="1">
      <alignment horizontal="right" vertical="center"/>
    </xf>
    <xf numFmtId="49" fontId="6" fillId="0" borderId="5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/>
    </xf>
    <xf numFmtId="49" fontId="5" fillId="0" borderId="5" xfId="0" applyNumberFormat="1" applyFont="1" applyBorder="1" applyAlignment="1">
      <alignment horizontal="center" vertical="center" wrapText="1"/>
    </xf>
    <xf numFmtId="49" fontId="6" fillId="0" borderId="5" xfId="0" applyNumberFormat="1" applyFont="1" applyBorder="1" applyAlignment="1">
      <alignment vertical="center"/>
    </xf>
    <xf numFmtId="49" fontId="4" fillId="0" borderId="6" xfId="0" applyNumberFormat="1" applyFont="1" applyBorder="1" applyAlignment="1">
      <alignment vertical="top"/>
    </xf>
    <xf numFmtId="49" fontId="6" fillId="0" borderId="6" xfId="0" applyNumberFormat="1" applyFont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49" fontId="0" fillId="3" borderId="1" xfId="0" applyNumberFormat="1" applyFill="1" applyBorder="1" applyAlignment="1">
      <alignment horizontal="center"/>
    </xf>
    <xf numFmtId="0" fontId="0" fillId="3" borderId="0" xfId="0" applyFill="1"/>
    <xf numFmtId="0" fontId="0" fillId="0" borderId="0" xfId="0" applyAlignment="1">
      <alignment wrapText="1"/>
    </xf>
    <xf numFmtId="0" fontId="9" fillId="0" borderId="7" xfId="0" applyFont="1" applyBorder="1" applyAlignment="1">
      <alignment horizontal="left" vertical="center" wrapText="1" readingOrder="1"/>
    </xf>
    <xf numFmtId="0" fontId="9" fillId="0" borderId="8" xfId="0" applyFont="1" applyBorder="1" applyAlignment="1">
      <alignment horizontal="left" vertical="center" wrapText="1" readingOrder="1"/>
    </xf>
    <xf numFmtId="49" fontId="4" fillId="0" borderId="0" xfId="0" applyNumberFormat="1" applyFont="1" applyAlignment="1">
      <alignment horizontal="left" vertical="center"/>
    </xf>
    <xf numFmtId="0" fontId="9" fillId="0" borderId="1" xfId="0" applyFont="1" applyBorder="1" applyAlignment="1">
      <alignment horizontal="left" vertical="center" wrapText="1" readingOrder="1"/>
    </xf>
    <xf numFmtId="49" fontId="0" fillId="0" borderId="0" xfId="0" applyNumberFormat="1" applyAlignment="1">
      <alignment wrapText="1"/>
    </xf>
    <xf numFmtId="0" fontId="0" fillId="4" borderId="0" xfId="0" applyFill="1"/>
    <xf numFmtId="0" fontId="0" fillId="4" borderId="0" xfId="0" applyFill="1" applyAlignment="1">
      <alignment wrapText="1"/>
    </xf>
    <xf numFmtId="0" fontId="14" fillId="4" borderId="0" xfId="0" applyFont="1" applyFill="1" applyAlignment="1">
      <alignment horizontal="left" vertical="center"/>
    </xf>
    <xf numFmtId="49" fontId="6" fillId="4" borderId="6" xfId="0" applyNumberFormat="1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 wrapText="1"/>
    </xf>
    <xf numFmtId="0" fontId="9" fillId="5" borderId="0" xfId="0" applyFont="1" applyFill="1" applyAlignment="1">
      <alignment horizontal="left" vertical="center" wrapText="1" readingOrder="1"/>
    </xf>
    <xf numFmtId="0" fontId="0" fillId="5" borderId="0" xfId="0" applyFill="1"/>
    <xf numFmtId="0" fontId="0" fillId="5" borderId="0" xfId="0" applyFill="1" applyAlignment="1">
      <alignment wrapText="1"/>
    </xf>
    <xf numFmtId="0" fontId="14" fillId="5" borderId="0" xfId="0" applyFont="1" applyFill="1" applyAlignment="1">
      <alignment horizontal="left" vertical="center"/>
    </xf>
    <xf numFmtId="49" fontId="4" fillId="5" borderId="6" xfId="0" applyNumberFormat="1" applyFont="1" applyFill="1" applyBorder="1" applyAlignment="1">
      <alignment vertical="top"/>
    </xf>
    <xf numFmtId="49" fontId="6" fillId="5" borderId="6" xfId="0" applyNumberFormat="1" applyFont="1" applyFill="1" applyBorder="1" applyAlignment="1">
      <alignment horizontal="center" vertical="center"/>
    </xf>
    <xf numFmtId="49" fontId="4" fillId="5" borderId="0" xfId="0" applyNumberFormat="1" applyFont="1" applyFill="1" applyAlignment="1">
      <alignment horizontal="left" vertical="center"/>
    </xf>
    <xf numFmtId="49" fontId="6" fillId="5" borderId="0" xfId="0" applyNumberFormat="1" applyFont="1" applyFill="1" applyAlignment="1">
      <alignment horizontal="center" vertical="center"/>
    </xf>
    <xf numFmtId="49" fontId="6" fillId="5" borderId="5" xfId="0" applyNumberFormat="1" applyFont="1" applyFill="1" applyBorder="1" applyAlignment="1">
      <alignment horizontal="center" vertical="center"/>
    </xf>
    <xf numFmtId="49" fontId="6" fillId="5" borderId="0" xfId="0" applyNumberFormat="1" applyFont="1" applyFill="1" applyAlignment="1">
      <alignment vertical="center"/>
    </xf>
    <xf numFmtId="49" fontId="6" fillId="5" borderId="5" xfId="0" applyNumberFormat="1" applyFont="1" applyFill="1" applyBorder="1" applyAlignment="1">
      <alignment vertical="center"/>
    </xf>
    <xf numFmtId="0" fontId="6" fillId="5" borderId="6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49" fontId="5" fillId="5" borderId="0" xfId="0" applyNumberFormat="1" applyFont="1" applyFill="1" applyAlignment="1">
      <alignment horizontal="center" vertical="center"/>
    </xf>
    <xf numFmtId="0" fontId="6" fillId="5" borderId="5" xfId="0" applyFont="1" applyFill="1" applyBorder="1" applyAlignment="1">
      <alignment horizontal="center" vertical="center" wrapText="1"/>
    </xf>
    <xf numFmtId="0" fontId="5" fillId="5" borderId="0" xfId="0" applyFont="1" applyFill="1" applyAlignment="1">
      <alignment vertical="center"/>
    </xf>
    <xf numFmtId="0" fontId="6" fillId="5" borderId="5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3" fontId="5" fillId="5" borderId="0" xfId="0" applyNumberFormat="1" applyFont="1" applyFill="1" applyAlignment="1">
      <alignment horizontal="center" vertical="center"/>
    </xf>
    <xf numFmtId="0" fontId="4" fillId="5" borderId="0" xfId="0" applyFont="1" applyFill="1" applyAlignment="1">
      <alignment vertical="top"/>
    </xf>
    <xf numFmtId="0" fontId="15" fillId="5" borderId="0" xfId="0" applyFont="1" applyFill="1"/>
    <xf numFmtId="0" fontId="6" fillId="5" borderId="5" xfId="0" applyFont="1" applyFill="1" applyBorder="1" applyAlignment="1">
      <alignment vertical="center" wrapText="1"/>
    </xf>
    <xf numFmtId="0" fontId="5" fillId="5" borderId="5" xfId="0" applyFont="1" applyFill="1" applyBorder="1" applyAlignment="1">
      <alignment vertical="center"/>
    </xf>
    <xf numFmtId="3" fontId="5" fillId="5" borderId="5" xfId="0" applyNumberFormat="1" applyFont="1" applyFill="1" applyBorder="1" applyAlignment="1">
      <alignment horizontal="center" vertical="center"/>
    </xf>
    <xf numFmtId="3" fontId="6" fillId="5" borderId="5" xfId="0" applyNumberFormat="1" applyFont="1" applyFill="1" applyBorder="1" applyAlignment="1">
      <alignment horizontal="center" vertical="center"/>
    </xf>
    <xf numFmtId="0" fontId="11" fillId="5" borderId="6" xfId="0" applyFont="1" applyFill="1" applyBorder="1" applyAlignment="1">
      <alignment horizontal="center" vertical="center"/>
    </xf>
    <xf numFmtId="49" fontId="5" fillId="5" borderId="5" xfId="0" applyNumberFormat="1" applyFont="1" applyFill="1" applyBorder="1" applyAlignment="1">
      <alignment horizontal="center" vertical="center"/>
    </xf>
    <xf numFmtId="0" fontId="17" fillId="5" borderId="5" xfId="0" applyFont="1" applyFill="1" applyBorder="1" applyAlignment="1">
      <alignment horizontal="center" vertical="center" wrapText="1"/>
    </xf>
    <xf numFmtId="0" fontId="17" fillId="5" borderId="0" xfId="0" applyFont="1" applyFill="1" applyAlignment="1">
      <alignment vertical="center"/>
    </xf>
    <xf numFmtId="0" fontId="17" fillId="5" borderId="0" xfId="0" applyFont="1" applyFill="1" applyAlignment="1">
      <alignment horizontal="center" vertical="center" wrapText="1"/>
    </xf>
    <xf numFmtId="0" fontId="17" fillId="5" borderId="5" xfId="0" applyFont="1" applyFill="1" applyBorder="1" applyAlignment="1">
      <alignment vertical="center"/>
    </xf>
    <xf numFmtId="0" fontId="9" fillId="6" borderId="0" xfId="0" applyFont="1" applyFill="1" applyAlignment="1">
      <alignment horizontal="left" vertical="center" wrapText="1" readingOrder="1"/>
    </xf>
    <xf numFmtId="0" fontId="0" fillId="6" borderId="0" xfId="0" applyFill="1"/>
    <xf numFmtId="49" fontId="6" fillId="6" borderId="6" xfId="0" applyNumberFormat="1" applyFont="1" applyFill="1" applyBorder="1" applyAlignment="1">
      <alignment horizontal="center" vertical="center"/>
    </xf>
    <xf numFmtId="0" fontId="0" fillId="6" borderId="0" xfId="0" applyFill="1" applyAlignment="1">
      <alignment wrapText="1"/>
    </xf>
    <xf numFmtId="49" fontId="6" fillId="6" borderId="0" xfId="0" applyNumberFormat="1" applyFont="1" applyFill="1" applyAlignment="1">
      <alignment horizontal="center" vertical="center"/>
    </xf>
    <xf numFmtId="49" fontId="6" fillId="6" borderId="5" xfId="0" applyNumberFormat="1" applyFont="1" applyFill="1" applyBorder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5" fillId="6" borderId="5" xfId="0" applyNumberFormat="1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49" fontId="5" fillId="6" borderId="5" xfId="0" applyNumberFormat="1" applyFont="1" applyFill="1" applyBorder="1" applyAlignment="1">
      <alignment horizontal="center" vertical="center"/>
    </xf>
    <xf numFmtId="0" fontId="17" fillId="6" borderId="5" xfId="0" applyFont="1" applyFill="1" applyBorder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49" fontId="0" fillId="4" borderId="0" xfId="0" applyNumberFormat="1" applyFill="1"/>
    <xf numFmtId="0" fontId="5" fillId="4" borderId="6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0" fillId="4" borderId="5" xfId="0" applyFill="1" applyBorder="1" applyAlignment="1">
      <alignment vertical="top" wrapText="1"/>
    </xf>
    <xf numFmtId="0" fontId="6" fillId="4" borderId="0" xfId="0" applyFont="1" applyFill="1" applyAlignment="1">
      <alignment horizontal="center" vertical="center" wrapText="1"/>
    </xf>
    <xf numFmtId="49" fontId="5" fillId="4" borderId="5" xfId="0" applyNumberFormat="1" applyFont="1" applyFill="1" applyBorder="1" applyAlignment="1">
      <alignment horizontal="center" vertical="center" wrapText="1"/>
    </xf>
    <xf numFmtId="49" fontId="6" fillId="4" borderId="5" xfId="0" applyNumberFormat="1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 wrapText="1"/>
    </xf>
    <xf numFmtId="0" fontId="5" fillId="4" borderId="5" xfId="0" applyFont="1" applyFill="1" applyBorder="1" applyAlignment="1">
      <alignment vertical="center" wrapText="1"/>
    </xf>
    <xf numFmtId="3" fontId="5" fillId="4" borderId="5" xfId="0" applyNumberFormat="1" applyFont="1" applyFill="1" applyBorder="1" applyAlignment="1">
      <alignment horizontal="center" vertical="center" wrapText="1"/>
    </xf>
    <xf numFmtId="49" fontId="0" fillId="4" borderId="0" xfId="0" applyNumberFormat="1" applyFill="1" applyAlignment="1">
      <alignment wrapText="1"/>
    </xf>
    <xf numFmtId="0" fontId="20" fillId="0" borderId="0" xfId="0" applyFont="1" applyAlignment="1">
      <alignment wrapText="1"/>
    </xf>
    <xf numFmtId="0" fontId="20" fillId="0" borderId="0" xfId="0" applyFont="1"/>
    <xf numFmtId="0" fontId="22" fillId="0" borderId="1" xfId="0" applyFont="1" applyBorder="1" applyAlignment="1">
      <alignment wrapText="1"/>
    </xf>
    <xf numFmtId="0" fontId="20" fillId="0" borderId="1" xfId="0" applyFont="1" applyBorder="1"/>
    <xf numFmtId="0" fontId="20" fillId="0" borderId="1" xfId="0" applyFont="1" applyBorder="1" applyAlignment="1">
      <alignment wrapText="1"/>
    </xf>
    <xf numFmtId="0" fontId="23" fillId="0" borderId="1" xfId="0" applyFont="1" applyBorder="1" applyAlignment="1">
      <alignment wrapText="1"/>
    </xf>
    <xf numFmtId="0" fontId="22" fillId="0" borderId="1" xfId="0" applyFont="1" applyBorder="1"/>
    <xf numFmtId="0" fontId="10" fillId="0" borderId="1" xfId="0" applyFont="1" applyBorder="1" applyAlignment="1">
      <alignment horizontal="left" vertical="center" wrapText="1" readingOrder="1"/>
    </xf>
    <xf numFmtId="49" fontId="9" fillId="0" borderId="9" xfId="0" applyNumberFormat="1" applyFont="1" applyBorder="1" applyAlignment="1">
      <alignment horizontal="left" vertical="center" wrapText="1" readingOrder="1"/>
    </xf>
    <xf numFmtId="0" fontId="24" fillId="0" borderId="0" xfId="0" applyFont="1"/>
    <xf numFmtId="0" fontId="26" fillId="0" borderId="0" xfId="0" applyFont="1" applyAlignment="1">
      <alignment vertical="center"/>
    </xf>
    <xf numFmtId="0" fontId="26" fillId="0" borderId="0" xfId="0" applyFont="1" applyAlignment="1">
      <alignment horizontal="justify" vertical="center"/>
    </xf>
    <xf numFmtId="0" fontId="26" fillId="0" borderId="0" xfId="0" applyFont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7" fillId="0" borderId="0" xfId="0" applyFont="1" applyAlignment="1">
      <alignment vertical="center"/>
    </xf>
    <xf numFmtId="0" fontId="27" fillId="0" borderId="5" xfId="0" applyFont="1" applyBorder="1" applyAlignment="1">
      <alignment horizontal="justify" vertical="center"/>
    </xf>
    <xf numFmtId="0" fontId="27" fillId="0" borderId="5" xfId="0" applyFont="1" applyBorder="1" applyAlignment="1">
      <alignment horizontal="center" vertical="center"/>
    </xf>
    <xf numFmtId="0" fontId="27" fillId="0" borderId="5" xfId="0" applyFont="1" applyBorder="1" applyAlignment="1">
      <alignment vertical="center"/>
    </xf>
    <xf numFmtId="49" fontId="0" fillId="6" borderId="0" xfId="0" applyNumberFormat="1" applyFill="1" applyAlignment="1">
      <alignment wrapText="1"/>
    </xf>
    <xf numFmtId="49" fontId="4" fillId="5" borderId="0" xfId="0" applyNumberFormat="1" applyFont="1" applyFill="1" applyAlignment="1">
      <alignment horizontal="center" vertical="center"/>
    </xf>
    <xf numFmtId="49" fontId="4" fillId="6" borderId="6" xfId="0" applyNumberFormat="1" applyFont="1" applyFill="1" applyBorder="1" applyAlignment="1">
      <alignment vertical="top"/>
    </xf>
    <xf numFmtId="49" fontId="4" fillId="6" borderId="0" xfId="0" applyNumberFormat="1" applyFont="1" applyFill="1" applyAlignment="1">
      <alignment horizontal="center" vertical="center"/>
    </xf>
    <xf numFmtId="49" fontId="4" fillId="6" borderId="0" xfId="0" applyNumberFormat="1" applyFont="1" applyFill="1" applyAlignment="1">
      <alignment horizontal="left" vertical="center"/>
    </xf>
    <xf numFmtId="49" fontId="6" fillId="6" borderId="0" xfId="0" applyNumberFormat="1" applyFont="1" applyFill="1" applyAlignment="1">
      <alignment vertical="center"/>
    </xf>
    <xf numFmtId="49" fontId="6" fillId="6" borderId="5" xfId="0" applyNumberFormat="1" applyFont="1" applyFill="1" applyBorder="1" applyAlignment="1">
      <alignment vertical="center"/>
    </xf>
    <xf numFmtId="0" fontId="28" fillId="0" borderId="1" xfId="0" applyFont="1" applyBorder="1" applyAlignment="1">
      <alignment wrapText="1"/>
    </xf>
    <xf numFmtId="0" fontId="28" fillId="0" borderId="0" xfId="0" applyFont="1"/>
    <xf numFmtId="0" fontId="9" fillId="0" borderId="8" xfId="0" applyFont="1" applyBorder="1" applyAlignment="1">
      <alignment horizontal="left" vertical="center" wrapText="1" readingOrder="1"/>
    </xf>
    <xf numFmtId="0" fontId="9" fillId="0" borderId="9" xfId="0" applyFont="1" applyBorder="1" applyAlignment="1">
      <alignment horizontal="left" vertical="center" wrapText="1" readingOrder="1"/>
    </xf>
    <xf numFmtId="0" fontId="20" fillId="0" borderId="3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0" fillId="0" borderId="1" xfId="0" applyFont="1" applyBorder="1" applyAlignment="1">
      <alignment horizontal="left" vertical="center"/>
    </xf>
    <xf numFmtId="0" fontId="20" fillId="0" borderId="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/>
    </xf>
    <xf numFmtId="0" fontId="6" fillId="5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vertical="center"/>
    </xf>
    <xf numFmtId="0" fontId="5" fillId="5" borderId="5" xfId="0" applyFont="1" applyFill="1" applyBorder="1" applyAlignment="1">
      <alignment vertical="center"/>
    </xf>
    <xf numFmtId="0" fontId="16" fillId="5" borderId="6" xfId="0" applyFont="1" applyFill="1" applyBorder="1" applyAlignment="1">
      <alignment horizontal="center" vertical="center"/>
    </xf>
    <xf numFmtId="0" fontId="16" fillId="5" borderId="0" xfId="0" applyFont="1" applyFill="1" applyAlignment="1">
      <alignment horizontal="center" vertical="center"/>
    </xf>
    <xf numFmtId="0" fontId="17" fillId="5" borderId="6" xfId="0" applyFont="1" applyFill="1" applyBorder="1" applyAlignment="1">
      <alignment horizontal="center" vertical="center" wrapText="1"/>
    </xf>
    <xf numFmtId="0" fontId="17" fillId="5" borderId="5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 readingOrder="1"/>
    </xf>
    <xf numFmtId="0" fontId="17" fillId="6" borderId="6" xfId="0" applyFont="1" applyFill="1" applyBorder="1" applyAlignment="1">
      <alignment horizontal="center" vertical="center"/>
    </xf>
    <xf numFmtId="0" fontId="17" fillId="6" borderId="5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right" vertical="center" wrapText="1"/>
    </xf>
    <xf numFmtId="0" fontId="5" fillId="4" borderId="0" xfId="0" applyFont="1" applyFill="1" applyAlignment="1">
      <alignment horizontal="center" vertical="center" wrapText="1"/>
    </xf>
    <xf numFmtId="0" fontId="12" fillId="4" borderId="0" xfId="0" applyFont="1" applyFill="1" applyAlignment="1">
      <alignment vertical="center" wrapText="1"/>
    </xf>
    <xf numFmtId="0" fontId="12" fillId="4" borderId="5" xfId="0" applyFont="1" applyFill="1" applyBorder="1" applyAlignment="1">
      <alignment vertical="center" wrapText="1"/>
    </xf>
    <xf numFmtId="49" fontId="6" fillId="6" borderId="5" xfId="0" applyNumberFormat="1" applyFont="1" applyFill="1" applyBorder="1" applyAlignment="1">
      <alignment horizontal="center" vertical="center" wrapText="1"/>
    </xf>
    <xf numFmtId="0" fontId="7" fillId="6" borderId="0" xfId="0" applyFont="1" applyFill="1" applyAlignment="1">
      <alignment vertical="center"/>
    </xf>
    <xf numFmtId="0" fontId="7" fillId="6" borderId="5" xfId="0" applyFont="1" applyFill="1" applyBorder="1" applyAlignment="1">
      <alignment vertical="center"/>
    </xf>
    <xf numFmtId="0" fontId="6" fillId="5" borderId="6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 readingOrder="1"/>
    </xf>
    <xf numFmtId="0" fontId="9" fillId="0" borderId="0" xfId="0" applyFont="1" applyAlignment="1">
      <alignment horizontal="center" vertical="center" wrapText="1" readingOrder="1"/>
    </xf>
    <xf numFmtId="0" fontId="20" fillId="0" borderId="0" xfId="0" applyFont="1" applyAlignment="1">
      <alignment horizontal="center" vertical="center" wrapText="1"/>
    </xf>
    <xf numFmtId="49" fontId="6" fillId="5" borderId="5" xfId="0" applyNumberFormat="1" applyFont="1" applyFill="1" applyBorder="1" applyAlignment="1">
      <alignment horizontal="center" vertical="center" wrapText="1"/>
    </xf>
    <xf numFmtId="0" fontId="7" fillId="5" borderId="0" xfId="0" applyFont="1" applyFill="1" applyAlignment="1">
      <alignment vertical="center"/>
    </xf>
    <xf numFmtId="0" fontId="7" fillId="5" borderId="5" xfId="0" applyFont="1" applyFill="1" applyBorder="1" applyAlignment="1">
      <alignment vertical="center"/>
    </xf>
    <xf numFmtId="0" fontId="9" fillId="5" borderId="1" xfId="0" applyFont="1" applyFill="1" applyBorder="1" applyAlignment="1">
      <alignment horizontal="center" vertical="center" wrapText="1" readingOrder="1"/>
    </xf>
    <xf numFmtId="0" fontId="9" fillId="6" borderId="1" xfId="0" applyFont="1" applyFill="1" applyBorder="1" applyAlignment="1">
      <alignment horizontal="center" vertical="center" wrapText="1" readingOrder="1"/>
    </xf>
    <xf numFmtId="0" fontId="2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justify" vertical="center"/>
    </xf>
    <xf numFmtId="0" fontId="27" fillId="0" borderId="0" xfId="0" applyFont="1" applyAlignment="1">
      <alignment horizontal="justify" vertical="center"/>
    </xf>
    <xf numFmtId="0" fontId="7" fillId="0" borderId="0" xfId="0" applyFont="1" applyAlignment="1">
      <alignment vertical="center"/>
    </xf>
    <xf numFmtId="0" fontId="7" fillId="0" borderId="5" xfId="0" applyFont="1" applyBorder="1" applyAlignment="1">
      <alignment vertical="center"/>
    </xf>
    <xf numFmtId="49" fontId="6" fillId="0" borderId="5" xfId="0" applyNumberFormat="1" applyFont="1" applyBorder="1" applyAlignment="1">
      <alignment horizontal="center" vertical="center" wrapText="1"/>
    </xf>
    <xf numFmtId="49" fontId="5" fillId="0" borderId="0" xfId="0" applyNumberFormat="1" applyFont="1" applyAlignment="1">
      <alignment horizontal="justify" vertical="center" wrapText="1"/>
    </xf>
    <xf numFmtId="49" fontId="5" fillId="0" borderId="0" xfId="0" applyNumberFormat="1" applyFont="1" applyAlignment="1">
      <alignment horizontal="center" vertical="center" wrapText="1"/>
    </xf>
    <xf numFmtId="49" fontId="5" fillId="0" borderId="6" xfId="0" applyNumberFormat="1" applyFont="1" applyBorder="1" applyAlignment="1">
      <alignment horizontal="center" vertical="center" wrapText="1"/>
    </xf>
    <xf numFmtId="49" fontId="5" fillId="0" borderId="5" xfId="0" applyNumberFormat="1" applyFont="1" applyBorder="1" applyAlignment="1">
      <alignment horizontal="center" vertical="center" wrapText="1"/>
    </xf>
    <xf numFmtId="49" fontId="5" fillId="0" borderId="5" xfId="0" applyNumberFormat="1" applyFont="1" applyBorder="1" applyAlignment="1">
      <alignment horizontal="justify" vertical="center" wrapText="1"/>
    </xf>
    <xf numFmtId="49" fontId="0" fillId="0" borderId="3" xfId="0" applyNumberFormat="1" applyBorder="1" applyAlignment="1">
      <alignment horizontal="left" vertical="center"/>
    </xf>
    <xf numFmtId="49" fontId="0" fillId="0" borderId="4" xfId="0" applyNumberFormat="1" applyBorder="1" applyAlignment="1">
      <alignment horizontal="left" vertical="center"/>
    </xf>
    <xf numFmtId="49" fontId="0" fillId="0" borderId="2" xfId="0" applyNumberFormat="1" applyBorder="1" applyAlignment="1">
      <alignment horizontal="left" vertical="center" wrapText="1"/>
    </xf>
    <xf numFmtId="49" fontId="0" fillId="0" borderId="2" xfId="0" applyNumberFormat="1" applyBorder="1" applyAlignment="1">
      <alignment horizontal="left" vertical="center"/>
    </xf>
    <xf numFmtId="49" fontId="0" fillId="0" borderId="1" xfId="0" applyNumberFormat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0" fontId="29" fillId="0" borderId="0" xfId="0" applyFont="1"/>
    <xf numFmtId="0" fontId="30" fillId="0" borderId="0" xfId="0" applyFont="1"/>
    <xf numFmtId="0" fontId="0" fillId="6" borderId="0" xfId="0" applyFill="1" applyAlignment="1"/>
    <xf numFmtId="0" fontId="0" fillId="5" borderId="0" xfId="0" applyFill="1" applyAlignment="1"/>
    <xf numFmtId="49" fontId="7" fillId="6" borderId="0" xfId="0" applyNumberFormat="1" applyFont="1" applyFill="1" applyAlignment="1">
      <alignment vertical="center"/>
    </xf>
    <xf numFmtId="49" fontId="7" fillId="6" borderId="5" xfId="0" applyNumberFormat="1" applyFont="1" applyFill="1" applyBorder="1" applyAlignment="1">
      <alignment vertical="center"/>
    </xf>
    <xf numFmtId="0" fontId="6" fillId="7" borderId="6" xfId="0" applyFont="1" applyFill="1" applyBorder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49" fontId="7" fillId="7" borderId="0" xfId="0" applyNumberFormat="1" applyFont="1" applyFill="1" applyAlignment="1">
      <alignment vertical="center"/>
    </xf>
    <xf numFmtId="49" fontId="7" fillId="7" borderId="5" xfId="0" applyNumberFormat="1" applyFont="1" applyFill="1" applyBorder="1" applyAlignment="1">
      <alignment vertical="center"/>
    </xf>
    <xf numFmtId="0" fontId="5" fillId="7" borderId="0" xfId="0" applyFont="1" applyFill="1" applyAlignment="1">
      <alignment vertical="center"/>
    </xf>
    <xf numFmtId="0" fontId="6" fillId="7" borderId="5" xfId="0" applyFont="1" applyFill="1" applyBorder="1" applyAlignment="1">
      <alignment vertical="center"/>
    </xf>
    <xf numFmtId="0" fontId="6" fillId="7" borderId="0" xfId="0" applyFont="1" applyFill="1" applyAlignment="1">
      <alignment vertical="center"/>
    </xf>
    <xf numFmtId="0" fontId="0" fillId="7" borderId="0" xfId="0" applyFill="1" applyAlignment="1">
      <alignment wrapText="1"/>
    </xf>
    <xf numFmtId="0" fontId="15" fillId="7" borderId="0" xfId="0" applyFont="1" applyFill="1"/>
    <xf numFmtId="0" fontId="6" fillId="7" borderId="6" xfId="0" applyFont="1" applyFill="1" applyBorder="1" applyAlignment="1">
      <alignment vertical="center"/>
    </xf>
    <xf numFmtId="0" fontId="5" fillId="7" borderId="5" xfId="0" applyFont="1" applyFill="1" applyBorder="1" applyAlignment="1">
      <alignment vertical="center"/>
    </xf>
    <xf numFmtId="49" fontId="14" fillId="6" borderId="0" xfId="0" applyNumberFormat="1" applyFont="1" applyFill="1" applyAlignment="1">
      <alignment horizontal="left" vertical="center"/>
    </xf>
    <xf numFmtId="49" fontId="6" fillId="6" borderId="6" xfId="0" applyNumberFormat="1" applyFont="1" applyFill="1" applyBorder="1" applyAlignment="1">
      <alignment horizontal="center" vertical="center"/>
    </xf>
    <xf numFmtId="49" fontId="6" fillId="6" borderId="0" xfId="0" applyNumberFormat="1" applyFont="1" applyFill="1" applyAlignment="1">
      <alignment horizontal="center" vertical="center"/>
    </xf>
    <xf numFmtId="49" fontId="5" fillId="6" borderId="0" xfId="0" applyNumberFormat="1" applyFont="1" applyFill="1" applyAlignment="1">
      <alignment horizontal="center" vertical="center"/>
    </xf>
    <xf numFmtId="49" fontId="6" fillId="6" borderId="0" xfId="0" applyNumberFormat="1" applyFont="1" applyFill="1" applyBorder="1" applyAlignment="1">
      <alignment horizontal="center" vertical="center" wrapText="1"/>
    </xf>
    <xf numFmtId="49" fontId="5" fillId="6" borderId="0" xfId="0" applyNumberFormat="1" applyFont="1" applyFill="1" applyAlignment="1">
      <alignment vertical="center"/>
    </xf>
    <xf numFmtId="49" fontId="4" fillId="6" borderId="0" xfId="0" applyNumberFormat="1" applyFont="1" applyFill="1" applyAlignment="1">
      <alignment vertical="top"/>
    </xf>
    <xf numFmtId="0" fontId="6" fillId="6" borderId="0" xfId="0" applyFont="1" applyFill="1" applyAlignment="1">
      <alignment vertical="center"/>
    </xf>
    <xf numFmtId="0" fontId="4" fillId="6" borderId="0" xfId="0" applyFont="1" applyFill="1" applyAlignment="1">
      <alignment vertical="top"/>
    </xf>
    <xf numFmtId="0" fontId="6" fillId="6" borderId="5" xfId="0" applyFont="1" applyFill="1" applyBorder="1" applyAlignment="1">
      <alignment horizontal="center" vertical="center"/>
    </xf>
    <xf numFmtId="0" fontId="6" fillId="6" borderId="0" xfId="0" applyFont="1" applyFill="1" applyAlignment="1">
      <alignment horizontal="center" vertical="center" wrapText="1"/>
    </xf>
    <xf numFmtId="0" fontId="6" fillId="6" borderId="5" xfId="0" applyFont="1" applyFill="1" applyBorder="1" applyAlignment="1">
      <alignment vertical="center" wrapText="1"/>
    </xf>
    <xf numFmtId="0" fontId="6" fillId="6" borderId="6" xfId="0" applyFont="1" applyFill="1" applyBorder="1" applyAlignment="1">
      <alignment horizontal="center" vertical="center"/>
    </xf>
    <xf numFmtId="3" fontId="6" fillId="6" borderId="5" xfId="0" applyNumberFormat="1" applyFont="1" applyFill="1" applyBorder="1" applyAlignment="1">
      <alignment horizontal="center" vertical="center"/>
    </xf>
    <xf numFmtId="49" fontId="7" fillId="6" borderId="0" xfId="0" applyNumberFormat="1" applyFont="1" applyFill="1" applyBorder="1" applyAlignment="1">
      <alignment vertical="center"/>
    </xf>
    <xf numFmtId="49" fontId="6" fillId="6" borderId="0" xfId="0" applyNumberFormat="1" applyFont="1" applyFill="1" applyBorder="1" applyAlignment="1">
      <alignment horizontal="center" vertical="center"/>
    </xf>
    <xf numFmtId="49" fontId="4" fillId="6" borderId="5" xfId="0" applyNumberFormat="1" applyFont="1" applyFill="1" applyBorder="1" applyAlignment="1">
      <alignment vertical="top"/>
    </xf>
    <xf numFmtId="49" fontId="5" fillId="6" borderId="5" xfId="0" applyNumberFormat="1" applyFont="1" applyFill="1" applyBorder="1" applyAlignment="1">
      <alignment vertical="center"/>
    </xf>
    <xf numFmtId="0" fontId="29" fillId="4" borderId="0" xfId="0" applyFont="1" applyFill="1" applyAlignment="1"/>
    <xf numFmtId="49" fontId="2" fillId="0" borderId="1" xfId="0" applyNumberFormat="1" applyFont="1" applyBorder="1" applyAlignment="1">
      <alignment horizontal="center"/>
    </xf>
    <xf numFmtId="49" fontId="31" fillId="0" borderId="1" xfId="0" applyNumberFormat="1" applyFont="1" applyBorder="1" applyAlignment="1">
      <alignment horizontal="center"/>
    </xf>
    <xf numFmtId="49" fontId="29" fillId="0" borderId="0" xfId="0" applyNumberFormat="1" applyFont="1"/>
    <xf numFmtId="49" fontId="32" fillId="0" borderId="0" xfId="0" applyNumberFormat="1" applyFont="1"/>
    <xf numFmtId="49" fontId="33" fillId="0" borderId="0" xfId="0" applyNumberFormat="1" applyFont="1"/>
    <xf numFmtId="0" fontId="33" fillId="0" borderId="0" xfId="0" applyFont="1"/>
    <xf numFmtId="0" fontId="21" fillId="0" borderId="0" xfId="0" applyFont="1"/>
    <xf numFmtId="49" fontId="35" fillId="0" borderId="0" xfId="0" applyNumberFormat="1" applyFont="1"/>
    <xf numFmtId="49" fontId="36" fillId="0" borderId="0" xfId="0" applyNumberFormat="1" applyFont="1"/>
    <xf numFmtId="0" fontId="36" fillId="0" borderId="0" xfId="0" applyFont="1"/>
    <xf numFmtId="0" fontId="3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F9F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061753997970763"/>
          <c:y val="3.8477365008348238E-2"/>
          <c:w val="0.84032668048786519"/>
          <c:h val="0.84574582376348373"/>
        </c:manualLayout>
      </c:layout>
      <c:scatterChart>
        <c:scatterStyle val="lineMarker"/>
        <c:varyColors val="0"/>
        <c:ser>
          <c:idx val="3"/>
          <c:order val="0"/>
          <c:tx>
            <c:strRef>
              <c:f>'interaction plot (20260608)'!$B$36</c:f>
              <c:strCache>
                <c:ptCount val="1"/>
                <c:pt idx="0">
                  <c:v>AI Answer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Pt>
            <c:idx val="2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solidFill>
                    <a:schemeClr val="accent4"/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4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F1FF-4BD2-BC6E-5B9A0D3E65F9}"/>
              </c:ext>
            </c:extLst>
          </c:dPt>
          <c:xVal>
            <c:numRef>
              <c:f>'interaction plot (20260608)'!$A$37:$A$42</c:f>
              <c:numCache>
                <c:formatCode>General</c:formatCode>
                <c:ptCount val="6"/>
                <c:pt idx="0">
                  <c:v>5.1203884999999998</c:v>
                </c:pt>
                <c:pt idx="1">
                  <c:v>6.2315934999999998</c:v>
                </c:pt>
                <c:pt idx="2">
                  <c:v>0</c:v>
                </c:pt>
                <c:pt idx="3">
                  <c:v>2.1058599999999998</c:v>
                </c:pt>
                <c:pt idx="4">
                  <c:v>4.780926</c:v>
                </c:pt>
                <c:pt idx="5">
                  <c:v>0</c:v>
                </c:pt>
              </c:numCache>
            </c:numRef>
          </c:xVal>
          <c:yVal>
            <c:numRef>
              <c:f>'interaction plot (20260608)'!$B$37:$B$41</c:f>
              <c:numCache>
                <c:formatCode>General</c:formatCode>
                <c:ptCount val="5"/>
                <c:pt idx="0">
                  <c:v>0.25388736600000006</c:v>
                </c:pt>
                <c:pt idx="1">
                  <c:v>0.16054614600000006</c:v>
                </c:pt>
                <c:pt idx="2">
                  <c:v>0.68400000000000005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1FF-4BD2-BC6E-5B9A0D3E65F9}"/>
            </c:ext>
          </c:extLst>
        </c:ser>
        <c:ser>
          <c:idx val="0"/>
          <c:order val="1"/>
          <c:tx>
            <c:strRef>
              <c:f>'interaction plot (20260608)'!$C$36</c:f>
              <c:strCache>
                <c:ptCount val="1"/>
                <c:pt idx="0">
                  <c:v>Human Answer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5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F1FF-4BD2-BC6E-5B9A0D3E65F9}"/>
              </c:ext>
            </c:extLst>
          </c:dPt>
          <c:xVal>
            <c:numRef>
              <c:f>'interaction plot (20260608)'!$A$37:$A$42</c:f>
              <c:numCache>
                <c:formatCode>General</c:formatCode>
                <c:ptCount val="6"/>
                <c:pt idx="0">
                  <c:v>5.1203884999999998</c:v>
                </c:pt>
                <c:pt idx="1">
                  <c:v>6.2315934999999998</c:v>
                </c:pt>
                <c:pt idx="2">
                  <c:v>0</c:v>
                </c:pt>
                <c:pt idx="3">
                  <c:v>2.1058599999999998</c:v>
                </c:pt>
                <c:pt idx="4">
                  <c:v>4.780926</c:v>
                </c:pt>
                <c:pt idx="5">
                  <c:v>0</c:v>
                </c:pt>
              </c:numCache>
            </c:numRef>
          </c:xVal>
          <c:yVal>
            <c:numRef>
              <c:f>'interaction plot (20260608)'!$C$37:$C$42</c:f>
              <c:numCache>
                <c:formatCode>General</c:formatCode>
                <c:ptCount val="6"/>
                <c:pt idx="3">
                  <c:v>-5.4752359999999993E-2</c:v>
                </c:pt>
                <c:pt idx="4">
                  <c:v>-0.124304076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1FF-4BD2-BC6E-5B9A0D3E65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3614864"/>
        <c:axId val="1273614384"/>
      </c:scatterChart>
      <c:valAx>
        <c:axId val="1273614384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7 day #Answer</a:t>
                </a:r>
              </a:p>
            </c:rich>
          </c:tx>
          <c:layout>
            <c:manualLayout>
              <c:xMode val="edge"/>
              <c:yMode val="edge"/>
              <c:x val="2.202964591897557E-2"/>
              <c:y val="0.331017438481661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614864"/>
        <c:crosses val="autoZero"/>
        <c:crossBetween val="midCat"/>
      </c:valAx>
      <c:valAx>
        <c:axId val="1273614864"/>
        <c:scaling>
          <c:orientation val="minMax"/>
          <c:max val="7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Answer 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614384"/>
        <c:crossesAt val="-0.2"/>
        <c:crossBetween val="midCat"/>
        <c:majorUnit val="1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0671602810687939"/>
          <c:y val="8.0683756823053135E-2"/>
          <c:w val="0.23270244561593784"/>
          <c:h val="0.118056378015735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16882476950483"/>
          <c:y val="4.3161431167558426E-2"/>
          <c:w val="0.83437263290876029"/>
          <c:h val="0.82343050885998825"/>
        </c:manualLayout>
      </c:layout>
      <c:scatterChart>
        <c:scatterStyle val="lineMarker"/>
        <c:varyColors val="0"/>
        <c:ser>
          <c:idx val="1"/>
          <c:order val="0"/>
          <c:tx>
            <c:strRef>
              <c:f>'interaction plot (20260608)'!$C$36</c:f>
              <c:strCache>
                <c:ptCount val="1"/>
                <c:pt idx="0">
                  <c:v>Human Answer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dash"/>
              </a:ln>
              <a:effectLst/>
            </c:spPr>
          </c:marker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  <a:prstDash val="dash"/>
                </a:ln>
                <a:effectLst/>
              </c:spPr>
            </c:marker>
            <c:bubble3D val="0"/>
            <c:spPr>
              <a:ln w="19050" cap="rnd">
                <a:solidFill>
                  <a:schemeClr val="accent2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B58-7349-A6C5-09BADE77279A}"/>
              </c:ext>
            </c:extLst>
          </c:dPt>
          <c:xVal>
            <c:numRef>
              <c:f>'interaction plot (20260608)'!$A$47:$A$49</c:f>
              <c:numCache>
                <c:formatCode>General</c:formatCode>
                <c:ptCount val="3"/>
                <c:pt idx="0">
                  <c:v>0</c:v>
                </c:pt>
                <c:pt idx="1">
                  <c:v>0.25836000000000003</c:v>
                </c:pt>
                <c:pt idx="2">
                  <c:v>0.63216220000000001</c:v>
                </c:pt>
              </c:numCache>
            </c:numRef>
          </c:xVal>
          <c:yVal>
            <c:numRef>
              <c:f>'interaction plot (20260608)'!$C$47:$C$49</c:f>
              <c:numCache>
                <c:formatCode>General</c:formatCode>
                <c:ptCount val="3"/>
                <c:pt idx="0">
                  <c:v>0</c:v>
                </c:pt>
                <c:pt idx="1">
                  <c:v>0.12762984000000002</c:v>
                </c:pt>
                <c:pt idx="2">
                  <c:v>0.31228812680000001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34-469D-9EE5-06BBBABFA6CF}"/>
            </c:ext>
          </c:extLst>
        </c:ser>
        <c:ser>
          <c:idx val="2"/>
          <c:order val="1"/>
          <c:tx>
            <c:strRef>
              <c:f>'interaction plot (20260608)'!$B$36</c:f>
              <c:strCache>
                <c:ptCount val="1"/>
                <c:pt idx="0">
                  <c:v>AI Answer</c:v>
                </c:pt>
              </c:strCache>
            </c:strRef>
          </c:tx>
          <c:spPr>
            <a:ln w="19050" cap="rnd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Pt>
            <c:idx val="2"/>
            <c:marker>
              <c:symbol val="circle"/>
              <c:size val="5"/>
              <c:spPr>
                <a:solidFill>
                  <a:schemeClr val="accent3"/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3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4A42-4160-9AAE-00CF9DC0F4D6}"/>
              </c:ext>
            </c:extLst>
          </c:dPt>
          <c:xVal>
            <c:numRef>
              <c:f>'interaction plot (20260608)'!$A$45:$A$47</c:f>
              <c:numCache>
                <c:formatCode>General</c:formatCode>
                <c:ptCount val="3"/>
                <c:pt idx="0">
                  <c:v>0.70744960000000001</c:v>
                </c:pt>
                <c:pt idx="1">
                  <c:v>0.40333040000000009</c:v>
                </c:pt>
                <c:pt idx="2">
                  <c:v>0</c:v>
                </c:pt>
              </c:numCache>
            </c:numRef>
          </c:xVal>
          <c:yVal>
            <c:numRef>
              <c:f>'interaction plot (20260608)'!$B$45:$B$47</c:f>
              <c:numCache>
                <c:formatCode>General</c:formatCode>
                <c:ptCount val="3"/>
                <c:pt idx="0">
                  <c:v>0.272368096</c:v>
                </c:pt>
                <c:pt idx="1">
                  <c:v>0.15528220400000003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034-469D-9EE5-06BBBABFA6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1726864"/>
        <c:axId val="1273565424"/>
      </c:scatterChart>
      <c:valAx>
        <c:axId val="1311726864"/>
        <c:scaling>
          <c:orientation val="minMax"/>
        </c:scaling>
        <c:delete val="0"/>
        <c:axPos val="t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Qaulity</a:t>
                </a:r>
              </a:p>
            </c:rich>
          </c:tx>
          <c:layout>
            <c:manualLayout>
              <c:xMode val="edge"/>
              <c:yMode val="edge"/>
              <c:x val="0.4853730688685402"/>
              <c:y val="0.933856419807173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565424"/>
        <c:crossesAt val="0.4"/>
        <c:crossBetween val="midCat"/>
      </c:valAx>
      <c:valAx>
        <c:axId val="1273565424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Similarity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7268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120939960737396"/>
          <c:y val="0.13557972568238005"/>
          <c:w val="0.25556999125109359"/>
          <c:h val="0.1339295088113985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658898783623088"/>
          <c:y val="5.6745720814710666E-2"/>
          <c:w val="0.75834536036245515"/>
          <c:h val="0.75926640516999511"/>
        </c:manualLayout>
      </c:layout>
      <c:scatterChart>
        <c:scatterStyle val="lineMarker"/>
        <c:varyColors val="0"/>
        <c:ser>
          <c:idx val="0"/>
          <c:order val="0"/>
          <c:tx>
            <c:strRef>
              <c:f>'interaction plot (20260608)'!$B$17</c:f>
              <c:strCache>
                <c:ptCount val="1"/>
                <c:pt idx="0">
                  <c:v>AI Answer</c:v>
                </c:pt>
              </c:strCache>
            </c:strRef>
          </c:tx>
          <c:spPr>
            <a:ln w="19050" cap="flat" cmpd="sng" algn="ctr">
              <a:solidFill>
                <a:schemeClr val="accent4"/>
              </a:solidFill>
              <a:prstDash val="solid"/>
              <a:miter lim="800000"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noFill/>
              </a:ln>
              <a:effectLst/>
            </c:spPr>
          </c:marker>
          <c:dPt>
            <c:idx val="2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flat" cmpd="sng" algn="ctr">
                <a:solidFill>
                  <a:schemeClr val="accent4"/>
                </a:solidFill>
                <a:prstDash val="dash"/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1-30B6-4741-8A37-290A02E3CD1F}"/>
              </c:ext>
            </c:extLst>
          </c:dPt>
          <c:xVal>
            <c:numRef>
              <c:f>'interaction plot (20260608)'!$A$18:$A$22</c:f>
              <c:numCache>
                <c:formatCode>General</c:formatCode>
                <c:ptCount val="5"/>
                <c:pt idx="0">
                  <c:v>6.2315934999999998</c:v>
                </c:pt>
                <c:pt idx="1">
                  <c:v>5.1203884999999998</c:v>
                </c:pt>
                <c:pt idx="2">
                  <c:v>0</c:v>
                </c:pt>
                <c:pt idx="3">
                  <c:v>7</c:v>
                </c:pt>
                <c:pt idx="4">
                  <c:v>0</c:v>
                </c:pt>
              </c:numCache>
            </c:numRef>
          </c:xVal>
          <c:yVal>
            <c:numRef>
              <c:f>'interaction plot (20260608)'!$B$18:$B$22</c:f>
              <c:numCache>
                <c:formatCode>General</c:formatCode>
                <c:ptCount val="5"/>
                <c:pt idx="0">
                  <c:v>-5.4421707499999999E-2</c:v>
                </c:pt>
                <c:pt idx="1">
                  <c:v>-4.4174824999999862E-3</c:v>
                </c:pt>
                <c:pt idx="2">
                  <c:v>0.22600000000000001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0B6-4741-8A37-290A02E3CD1F}"/>
            </c:ext>
          </c:extLst>
        </c:ser>
        <c:ser>
          <c:idx val="1"/>
          <c:order val="1"/>
          <c:tx>
            <c:strRef>
              <c:f>'interaction plot (20260608)'!$C$17</c:f>
              <c:strCache>
                <c:ptCount val="1"/>
                <c:pt idx="0">
                  <c:v>No Answer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2-AD4C-7048-B0B0-097CACF67255}"/>
              </c:ext>
            </c:extLst>
          </c:dPt>
          <c:xVal>
            <c:numRef>
              <c:f>'interaction plot (20260608)'!$A$21:$A$22</c:f>
              <c:numCache>
                <c:formatCode>General</c:formatCode>
                <c:ptCount val="2"/>
                <c:pt idx="0">
                  <c:v>7</c:v>
                </c:pt>
                <c:pt idx="1">
                  <c:v>0</c:v>
                </c:pt>
              </c:numCache>
            </c:numRef>
          </c:xVal>
          <c:yVal>
            <c:numRef>
              <c:f>'interaction plot (20260608)'!$C$21:$C$22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0B6-4741-8A37-290A02E3CD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3614864"/>
        <c:axId val="1273614384"/>
      </c:scatterChart>
      <c:valAx>
        <c:axId val="1273614384"/>
        <c:scaling>
          <c:orientation val="minMax"/>
          <c:max val="0.4"/>
          <c:min val="-0.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#</a:t>
                </a:r>
                <a:r>
                  <a:rPr lang="zh-CN" alt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 </a:t>
                </a:r>
                <a:r>
                  <a:rPr 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Human</a:t>
                </a:r>
                <a:r>
                  <a:rPr lang="zh-CN" alt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 </a:t>
                </a:r>
                <a:r>
                  <a:rPr 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Answer</a:t>
                </a:r>
                <a:r>
                  <a:rPr lang="zh-CN" alt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 </a:t>
                </a:r>
                <a:r>
                  <a:rPr 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within</a:t>
                </a:r>
                <a:r>
                  <a:rPr lang="zh-CN" alt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 </a:t>
                </a:r>
                <a:r>
                  <a:rPr 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7</a:t>
                </a:r>
                <a:r>
                  <a:rPr lang="zh-CN" alt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 </a:t>
                </a:r>
                <a:r>
                  <a:rPr 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614864"/>
        <c:crosses val="autoZero"/>
        <c:crossBetween val="midCat"/>
        <c:majorUnit val="0.2"/>
      </c:valAx>
      <c:valAx>
        <c:axId val="1273614864"/>
        <c:scaling>
          <c:orientation val="minMax"/>
          <c:max val="7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AI</a:t>
                </a:r>
                <a:r>
                  <a:rPr lang="zh-CN"/>
                  <a:t> </a:t>
                </a:r>
                <a:r>
                  <a:rPr lang="en-US"/>
                  <a:t>answer</a:t>
                </a:r>
                <a:r>
                  <a:rPr lang="zh-CN"/>
                  <a:t> </a:t>
                </a:r>
                <a:r>
                  <a:rPr lang="en-US"/>
                  <a:t>Length</a:t>
                </a:r>
              </a:p>
            </c:rich>
          </c:tx>
          <c:layout>
            <c:manualLayout>
              <c:xMode val="edge"/>
              <c:yMode val="edge"/>
              <c:x val="0.37847856559201215"/>
              <c:y val="0.9083909815443875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614384"/>
        <c:crossesAt val="-0.30000000000000004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9825909791468757"/>
          <c:y val="0.10924970324905096"/>
          <c:w val="0.3334735333390908"/>
          <c:h val="0.1777339068341481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166413041912891"/>
          <c:y val="4.3874636000693454E-2"/>
          <c:w val="0.76843150800609039"/>
          <c:h val="0.77262652213356342"/>
        </c:manualLayout>
      </c:layout>
      <c:scatterChart>
        <c:scatterStyle val="lineMarker"/>
        <c:varyColors val="0"/>
        <c:ser>
          <c:idx val="0"/>
          <c:order val="0"/>
          <c:tx>
            <c:strRef>
              <c:f>'interaction plot (20260608)'!$B$25</c:f>
              <c:strCache>
                <c:ptCount val="1"/>
                <c:pt idx="0">
                  <c:v>AI Answer</c:v>
                </c:pt>
              </c:strCache>
            </c:strRef>
          </c:tx>
          <c:spPr>
            <a:ln w="19050" cap="rnd">
              <a:solidFill>
                <a:srgbClr val="0F9FD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solidFill>
                  <a:srgbClr val="0F9FD5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7EAF-DA4D-8724-9A418F2CB7D2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solidFill>
                  <a:srgbClr val="0F9FD5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9828-FB48-8221-6BEDD331795A}"/>
              </c:ext>
            </c:extLst>
          </c:dPt>
          <c:xVal>
            <c:numRef>
              <c:f>'interaction plot (20260608)'!$A$28:$A$30</c:f>
              <c:numCache>
                <c:formatCode>General</c:formatCode>
                <c:ptCount val="3"/>
                <c:pt idx="0">
                  <c:v>0</c:v>
                </c:pt>
                <c:pt idx="1">
                  <c:v>0.40333040000000009</c:v>
                </c:pt>
                <c:pt idx="2">
                  <c:v>0.70744960000000001</c:v>
                </c:pt>
              </c:numCache>
            </c:numRef>
          </c:xVal>
          <c:yVal>
            <c:numRef>
              <c:f>'interaction plot (20260608)'!$B$28:$B$30</c:f>
              <c:numCache>
                <c:formatCode>General</c:formatCode>
                <c:ptCount val="3"/>
                <c:pt idx="0">
                  <c:v>-0.12</c:v>
                </c:pt>
                <c:pt idx="1">
                  <c:v>2.1165640000000013E-2</c:v>
                </c:pt>
                <c:pt idx="2">
                  <c:v>0.12760736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37-467B-996E-07C785599A61}"/>
            </c:ext>
          </c:extLst>
        </c:ser>
        <c:ser>
          <c:idx val="1"/>
          <c:order val="1"/>
          <c:tx>
            <c:strRef>
              <c:f>'interaction plot (20260608)'!$C$25</c:f>
              <c:strCache>
                <c:ptCount val="1"/>
                <c:pt idx="0">
                  <c:v>No Answer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2-0DFC-4439-9F03-18134A406378}"/>
              </c:ext>
            </c:extLst>
          </c:dPt>
          <c:xVal>
            <c:numRef>
              <c:f>'interaction plot (20260608)'!$A$26:$A$27</c:f>
              <c:numCache>
                <c:formatCode>General</c:formatCode>
                <c:ptCount val="2"/>
                <c:pt idx="0">
                  <c:v>0.8</c:v>
                </c:pt>
                <c:pt idx="1">
                  <c:v>0</c:v>
                </c:pt>
              </c:numCache>
            </c:numRef>
          </c:xVal>
          <c:yVal>
            <c:numRef>
              <c:f>'interaction plot (20260608)'!$C$26:$C$27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E37-467B-996E-07C785599A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3614864"/>
        <c:axId val="1273614384"/>
      </c:scatterChart>
      <c:valAx>
        <c:axId val="1273614384"/>
        <c:scaling>
          <c:orientation val="minMax"/>
          <c:min val="-0.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First</a:t>
                </a:r>
                <a:r>
                  <a:rPr lang="zh-CN" alt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 </a:t>
                </a:r>
                <a:r>
                  <a:rPr 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Human</a:t>
                </a:r>
                <a:r>
                  <a:rPr lang="zh-CN" alt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 </a:t>
                </a:r>
                <a:r>
                  <a:rPr 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Answer</a:t>
                </a:r>
                <a:r>
                  <a:rPr lang="zh-CN" alt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 </a:t>
                </a:r>
                <a:r>
                  <a:rPr lang="en-US" sz="18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Quality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614864"/>
        <c:crosses val="autoZero"/>
        <c:crossBetween val="midCat"/>
        <c:majorUnit val="0.2"/>
      </c:valAx>
      <c:valAx>
        <c:axId val="1273614864"/>
        <c:scaling>
          <c:orientation val="minMax"/>
          <c:max val="0.8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AI</a:t>
                </a:r>
                <a:r>
                  <a:rPr lang="zh-CN"/>
                  <a:t> </a:t>
                </a:r>
                <a:r>
                  <a:rPr lang="en-US"/>
                  <a:t>answer</a:t>
                </a:r>
                <a:r>
                  <a:rPr lang="zh-CN"/>
                  <a:t> </a:t>
                </a:r>
                <a:r>
                  <a:rPr lang="en-US"/>
                  <a:t>Quality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614384"/>
        <c:crossesAt val="-0.30000000000000004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9665699735930589"/>
          <c:y val="0.60974883273512892"/>
          <c:w val="0.35334525013277662"/>
          <c:h val="0.165785536577704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187270341207349"/>
          <c:y val="5.0925925925925923E-2"/>
          <c:w val="0.83153862523941269"/>
          <c:h val="0.83704432779235927"/>
        </c:manualLayout>
      </c:layout>
      <c:scatterChart>
        <c:scatterStyle val="lineMarker"/>
        <c:varyColors val="0"/>
        <c:ser>
          <c:idx val="1"/>
          <c:order val="0"/>
          <c:tx>
            <c:strRef>
              <c:f>Sheet3!$C$10</c:f>
              <c:strCache>
                <c:ptCount val="1"/>
                <c:pt idx="0">
                  <c:v>1st AI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2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6EBA-45F6-8FF0-8DF1CF18678A}"/>
              </c:ext>
            </c:extLst>
          </c:dPt>
          <c:xVal>
            <c:numRef>
              <c:f>Sheet3!$A$11:$A$15</c:f>
              <c:numCache>
                <c:formatCode>General</c:formatCode>
                <c:ptCount val="5"/>
                <c:pt idx="0">
                  <c:v>6.2315934999999998</c:v>
                </c:pt>
                <c:pt idx="1">
                  <c:v>5.1203884999999998</c:v>
                </c:pt>
                <c:pt idx="2">
                  <c:v>0</c:v>
                </c:pt>
                <c:pt idx="3">
                  <c:v>2.1058599999999998</c:v>
                </c:pt>
                <c:pt idx="4">
                  <c:v>4.780926</c:v>
                </c:pt>
              </c:numCache>
            </c:numRef>
          </c:xVal>
          <c:yVal>
            <c:numRef>
              <c:f>Sheet3!$C$11:$C$15</c:f>
              <c:numCache>
                <c:formatCode>General</c:formatCode>
                <c:ptCount val="5"/>
                <c:pt idx="0">
                  <c:v>0.57800933300000001</c:v>
                </c:pt>
                <c:pt idx="1">
                  <c:v>0.66912814300000001</c:v>
                </c:pt>
                <c:pt idx="2">
                  <c:v>1.089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EBA-45F6-8FF0-8DF1CF18678A}"/>
            </c:ext>
          </c:extLst>
        </c:ser>
        <c:ser>
          <c:idx val="2"/>
          <c:order val="1"/>
          <c:tx>
            <c:strRef>
              <c:f>Sheet3!$D$10</c:f>
              <c:strCache>
                <c:ptCount val="1"/>
                <c:pt idx="0">
                  <c:v>1st Human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Pt>
            <c:idx val="3"/>
            <c:marker>
              <c:symbol val="circle"/>
              <c:size val="5"/>
              <c:spPr>
                <a:solidFill>
                  <a:schemeClr val="accent3"/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3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6EBA-45F6-8FF0-8DF1CF18678A}"/>
              </c:ext>
            </c:extLst>
          </c:dPt>
          <c:xVal>
            <c:numRef>
              <c:f>Sheet3!$A$11:$A$15</c:f>
              <c:numCache>
                <c:formatCode>General</c:formatCode>
                <c:ptCount val="5"/>
                <c:pt idx="0">
                  <c:v>6.2315934999999998</c:v>
                </c:pt>
                <c:pt idx="1">
                  <c:v>5.1203884999999998</c:v>
                </c:pt>
                <c:pt idx="2">
                  <c:v>0</c:v>
                </c:pt>
                <c:pt idx="3">
                  <c:v>2.1058599999999998</c:v>
                </c:pt>
                <c:pt idx="4">
                  <c:v>4.780926</c:v>
                </c:pt>
              </c:numCache>
            </c:numRef>
          </c:xVal>
          <c:yVal>
            <c:numRef>
              <c:f>Sheet3!$D$11:$D$15</c:f>
              <c:numCache>
                <c:formatCode>General</c:formatCode>
                <c:ptCount val="5"/>
                <c:pt idx="2">
                  <c:v>0.34200000000000003</c:v>
                </c:pt>
                <c:pt idx="3">
                  <c:v>0.30830624000000001</c:v>
                </c:pt>
                <c:pt idx="4">
                  <c:v>0.26550518400000001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EBA-45F6-8FF0-8DF1CF18678A}"/>
            </c:ext>
          </c:extLst>
        </c:ser>
        <c:ser>
          <c:idx val="0"/>
          <c:order val="2"/>
          <c:tx>
            <c:strRef>
              <c:f>Sheet3!$B$10</c:f>
              <c:strCache>
                <c:ptCount val="1"/>
                <c:pt idx="0">
                  <c:v>No Answer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Sheet3!$A$11:$A$15</c:f>
              <c:numCache>
                <c:formatCode>General</c:formatCode>
                <c:ptCount val="5"/>
                <c:pt idx="0">
                  <c:v>6.2315934999999998</c:v>
                </c:pt>
                <c:pt idx="1">
                  <c:v>5.1203884999999998</c:v>
                </c:pt>
                <c:pt idx="2">
                  <c:v>0</c:v>
                </c:pt>
                <c:pt idx="3">
                  <c:v>2.1058599999999998</c:v>
                </c:pt>
                <c:pt idx="4">
                  <c:v>4.780926</c:v>
                </c:pt>
              </c:numCache>
            </c:numRef>
          </c:xVal>
          <c:yVal>
            <c:numRef>
              <c:f>Sheet3!$B$11:$B$15</c:f>
              <c:numCache>
                <c:formatCode>General</c:formatCode>
                <c:ptCount val="5"/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BA-45F6-8FF0-8DF1CF1867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8838144"/>
        <c:axId val="598837664"/>
      </c:scatterChart>
      <c:valAx>
        <c:axId val="598838144"/>
        <c:scaling>
          <c:orientation val="minMax"/>
          <c:max val="7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Answer</a:t>
                </a:r>
                <a:r>
                  <a:rPr lang="en-US" baseline="0"/>
                  <a:t> Length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837664"/>
        <c:crosses val="autoZero"/>
        <c:crossBetween val="midCat"/>
        <c:majorUnit val="1"/>
      </c:valAx>
      <c:valAx>
        <c:axId val="598837664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</a:t>
                </a:r>
                <a:r>
                  <a:rPr lang="en-US" baseline="0"/>
                  <a:t> Answer in 7 days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8381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021638646520536"/>
          <c:y val="0.58457290494938141"/>
          <c:w val="0.27614062715844728"/>
          <c:h val="0.226273694954797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187270341207349"/>
          <c:y val="5.0925925925925923E-2"/>
          <c:w val="0.57568282912004431"/>
          <c:h val="0.83704432779235927"/>
        </c:manualLayout>
      </c:layout>
      <c:scatterChart>
        <c:scatterStyle val="lineMarker"/>
        <c:varyColors val="0"/>
        <c:ser>
          <c:idx val="1"/>
          <c:order val="0"/>
          <c:tx>
            <c:strRef>
              <c:f>Sheet3!$C$10</c:f>
              <c:strCache>
                <c:ptCount val="1"/>
                <c:pt idx="0">
                  <c:v>1st AI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2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0975-4AAA-9DDD-314EB344758D}"/>
              </c:ext>
            </c:extLst>
          </c:dPt>
          <c:xVal>
            <c:numRef>
              <c:f>Sheet3!$A$11:$A$15</c:f>
              <c:numCache>
                <c:formatCode>General</c:formatCode>
                <c:ptCount val="5"/>
                <c:pt idx="0">
                  <c:v>6.2315934999999998</c:v>
                </c:pt>
                <c:pt idx="1">
                  <c:v>5.1203884999999998</c:v>
                </c:pt>
                <c:pt idx="2">
                  <c:v>0</c:v>
                </c:pt>
                <c:pt idx="3">
                  <c:v>2.1058599999999998</c:v>
                </c:pt>
                <c:pt idx="4">
                  <c:v>4.780926</c:v>
                </c:pt>
              </c:numCache>
            </c:numRef>
          </c:xVal>
          <c:yVal>
            <c:numRef>
              <c:f>Sheet3!$I$11:$I$15</c:f>
              <c:numCache>
                <c:formatCode>General</c:formatCode>
                <c:ptCount val="5"/>
                <c:pt idx="0">
                  <c:v>5.6384604220000005</c:v>
                </c:pt>
                <c:pt idx="1">
                  <c:v>5.8473669620000006</c:v>
                </c:pt>
                <c:pt idx="2">
                  <c:v>6.8100000000000005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975-4AAA-9DDD-314EB344758D}"/>
            </c:ext>
          </c:extLst>
        </c:ser>
        <c:ser>
          <c:idx val="2"/>
          <c:order val="1"/>
          <c:tx>
            <c:strRef>
              <c:f>Sheet3!$D$10</c:f>
              <c:strCache>
                <c:ptCount val="1"/>
                <c:pt idx="0">
                  <c:v>1st Human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Pt>
            <c:idx val="3"/>
            <c:marker>
              <c:symbol val="circle"/>
              <c:size val="5"/>
              <c:spPr>
                <a:solidFill>
                  <a:schemeClr val="accent3"/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3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0975-4AAA-9DDD-314EB344758D}"/>
              </c:ext>
            </c:extLst>
          </c:dPt>
          <c:xVal>
            <c:numRef>
              <c:f>Sheet3!$A$11:$A$15</c:f>
              <c:numCache>
                <c:formatCode>General</c:formatCode>
                <c:ptCount val="5"/>
                <c:pt idx="0">
                  <c:v>6.2315934999999998</c:v>
                </c:pt>
                <c:pt idx="1">
                  <c:v>5.1203884999999998</c:v>
                </c:pt>
                <c:pt idx="2">
                  <c:v>0</c:v>
                </c:pt>
                <c:pt idx="3">
                  <c:v>2.1058599999999998</c:v>
                </c:pt>
                <c:pt idx="4">
                  <c:v>4.780926</c:v>
                </c:pt>
              </c:numCache>
            </c:numRef>
          </c:xVal>
          <c:yVal>
            <c:numRef>
              <c:f>Sheet3!$J$11:$J$15</c:f>
              <c:numCache>
                <c:formatCode>General</c:formatCode>
                <c:ptCount val="5"/>
                <c:pt idx="2">
                  <c:v>5.4610000000000003</c:v>
                </c:pt>
                <c:pt idx="3">
                  <c:v>5.0650983200000006</c:v>
                </c:pt>
                <c:pt idx="4">
                  <c:v>4.5621859120000003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975-4AAA-9DDD-314EB344758D}"/>
            </c:ext>
          </c:extLst>
        </c:ser>
        <c:ser>
          <c:idx val="0"/>
          <c:order val="2"/>
          <c:tx>
            <c:strRef>
              <c:f>Sheet3!$B$10</c:f>
              <c:strCache>
                <c:ptCount val="1"/>
                <c:pt idx="0">
                  <c:v>No Answer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Sheet3!$A$11:$A$15</c:f>
              <c:numCache>
                <c:formatCode>General</c:formatCode>
                <c:ptCount val="5"/>
                <c:pt idx="0">
                  <c:v>6.2315934999999998</c:v>
                </c:pt>
                <c:pt idx="1">
                  <c:v>5.1203884999999998</c:v>
                </c:pt>
                <c:pt idx="2">
                  <c:v>0</c:v>
                </c:pt>
                <c:pt idx="3">
                  <c:v>2.1058599999999998</c:v>
                </c:pt>
                <c:pt idx="4">
                  <c:v>4.780926</c:v>
                </c:pt>
              </c:numCache>
            </c:numRef>
          </c:xVal>
          <c:yVal>
            <c:numRef>
              <c:f>Sheet3!$B$11:$B$15</c:f>
              <c:numCache>
                <c:formatCode>General</c:formatCode>
                <c:ptCount val="5"/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975-4AAA-9DDD-314EB34475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8838144"/>
        <c:axId val="598837664"/>
      </c:scatterChart>
      <c:valAx>
        <c:axId val="598838144"/>
        <c:scaling>
          <c:orientation val="minMax"/>
          <c:max val="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Answer</a:t>
                </a:r>
                <a:r>
                  <a:rPr lang="en-US" baseline="0"/>
                  <a:t> Length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837664"/>
        <c:crosses val="autoZero"/>
        <c:crossBetween val="midCat"/>
        <c:majorUnit val="1"/>
      </c:valAx>
      <c:valAx>
        <c:axId val="598837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</a:t>
                </a:r>
                <a:r>
                  <a:rPr lang="en-US" baseline="0"/>
                  <a:t> Answer in 7 days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8381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0937118386517473"/>
          <c:y val="0.35243000874890645"/>
          <c:w val="0.27614062715844728"/>
          <c:h val="0.226273694954797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606826111288307"/>
          <c:y val="3.8477365008348238E-2"/>
          <c:w val="0.82366786232425349"/>
          <c:h val="0.80648226543267343"/>
        </c:manualLayout>
      </c:layout>
      <c:scatterChart>
        <c:scatterStyle val="lineMarker"/>
        <c:varyColors val="0"/>
        <c:ser>
          <c:idx val="3"/>
          <c:order val="0"/>
          <c:tx>
            <c:strRef>
              <c:f>'interaction plot'!$B$34</c:f>
              <c:strCache>
                <c:ptCount val="1"/>
                <c:pt idx="0">
                  <c:v>AI Answer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Pt>
            <c:idx val="2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solidFill>
                    <a:schemeClr val="accent4"/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4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5C22-4334-8332-2AEDB2D2C033}"/>
              </c:ext>
            </c:extLst>
          </c:dPt>
          <c:xVal>
            <c:numRef>
              <c:f>'interaction plot'!$A$35:$A$40</c:f>
              <c:numCache>
                <c:formatCode>General</c:formatCode>
                <c:ptCount val="6"/>
                <c:pt idx="0">
                  <c:v>5.1203884999999998</c:v>
                </c:pt>
                <c:pt idx="1">
                  <c:v>6.2315934999999998</c:v>
                </c:pt>
                <c:pt idx="2">
                  <c:v>0</c:v>
                </c:pt>
                <c:pt idx="3">
                  <c:v>2.1058599999999998</c:v>
                </c:pt>
                <c:pt idx="4">
                  <c:v>4.780926</c:v>
                </c:pt>
                <c:pt idx="5">
                  <c:v>0</c:v>
                </c:pt>
              </c:numCache>
            </c:numRef>
          </c:xVal>
          <c:yVal>
            <c:numRef>
              <c:f>'interaction plot'!$B$35:$B$39</c:f>
              <c:numCache>
                <c:formatCode>General</c:formatCode>
                <c:ptCount val="5"/>
                <c:pt idx="0">
                  <c:v>0.25388736600000006</c:v>
                </c:pt>
                <c:pt idx="1">
                  <c:v>0.16054614600000006</c:v>
                </c:pt>
                <c:pt idx="2">
                  <c:v>0.68400000000000005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57C-4F6F-84F2-4AE63754C4AD}"/>
            </c:ext>
          </c:extLst>
        </c:ser>
        <c:ser>
          <c:idx val="0"/>
          <c:order val="1"/>
          <c:tx>
            <c:strRef>
              <c:f>'interaction plot'!$C$34</c:f>
              <c:strCache>
                <c:ptCount val="1"/>
                <c:pt idx="0">
                  <c:v>Human Answer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5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5C22-4334-8332-2AEDB2D2C033}"/>
              </c:ext>
            </c:extLst>
          </c:dPt>
          <c:xVal>
            <c:numRef>
              <c:f>'interaction plot'!$A$35:$A$40</c:f>
              <c:numCache>
                <c:formatCode>General</c:formatCode>
                <c:ptCount val="6"/>
                <c:pt idx="0">
                  <c:v>5.1203884999999998</c:v>
                </c:pt>
                <c:pt idx="1">
                  <c:v>6.2315934999999998</c:v>
                </c:pt>
                <c:pt idx="2">
                  <c:v>0</c:v>
                </c:pt>
                <c:pt idx="3">
                  <c:v>2.1058599999999998</c:v>
                </c:pt>
                <c:pt idx="4">
                  <c:v>4.780926</c:v>
                </c:pt>
                <c:pt idx="5">
                  <c:v>0</c:v>
                </c:pt>
              </c:numCache>
            </c:numRef>
          </c:xVal>
          <c:yVal>
            <c:numRef>
              <c:f>'interaction plot'!$C$35:$C$40</c:f>
              <c:numCache>
                <c:formatCode>General</c:formatCode>
                <c:ptCount val="6"/>
                <c:pt idx="3">
                  <c:v>-5.4752359999999993E-2</c:v>
                </c:pt>
                <c:pt idx="4">
                  <c:v>-0.124304076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557C-4F6F-84F2-4AE63754C4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3614864"/>
        <c:axId val="1273614384"/>
      </c:scatterChart>
      <c:valAx>
        <c:axId val="1273614384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7 day #Answer</a:t>
                </a:r>
              </a:p>
            </c:rich>
          </c:tx>
          <c:layout>
            <c:manualLayout>
              <c:xMode val="edge"/>
              <c:yMode val="edge"/>
              <c:x val="2.202964591897557E-2"/>
              <c:y val="0.331017438481661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614864"/>
        <c:crosses val="autoZero"/>
        <c:crossBetween val="midCat"/>
      </c:valAx>
      <c:valAx>
        <c:axId val="1273614864"/>
        <c:scaling>
          <c:orientation val="minMax"/>
          <c:max val="7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Answer 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614384"/>
        <c:crossesAt val="-0.2"/>
        <c:crossBetween val="midCat"/>
        <c:majorUnit val="1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0671602810687939"/>
          <c:y val="8.0683756823053135E-2"/>
          <c:w val="0.23270244561593784"/>
          <c:h val="0.118056378015735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'interaction plot'!$C$34</c:f>
              <c:strCache>
                <c:ptCount val="1"/>
                <c:pt idx="0">
                  <c:v>Human Answer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'interaction plot'!$A$45:$A$46</c:f>
              <c:numCache>
                <c:formatCode>General</c:formatCode>
                <c:ptCount val="2"/>
                <c:pt idx="0">
                  <c:v>0.25836000000000003</c:v>
                </c:pt>
                <c:pt idx="1">
                  <c:v>0.63216220000000001</c:v>
                </c:pt>
              </c:numCache>
            </c:numRef>
          </c:xVal>
          <c:yVal>
            <c:numRef>
              <c:f>'interaction plot'!$C$45:$C$46</c:f>
              <c:numCache>
                <c:formatCode>General</c:formatCode>
                <c:ptCount val="2"/>
                <c:pt idx="0">
                  <c:v>0.12762984000000002</c:v>
                </c:pt>
                <c:pt idx="1">
                  <c:v>0.31228812680000001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8E4-4895-8FBF-6774C9D132F7}"/>
            </c:ext>
          </c:extLst>
        </c:ser>
        <c:ser>
          <c:idx val="2"/>
          <c:order val="1"/>
          <c:tx>
            <c:strRef>
              <c:f>'interaction plot'!$B$34</c:f>
              <c:strCache>
                <c:ptCount val="1"/>
                <c:pt idx="0">
                  <c:v>AI Answer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'interaction plot'!$A$43:$A$44</c:f>
              <c:numCache>
                <c:formatCode>General</c:formatCode>
                <c:ptCount val="2"/>
                <c:pt idx="0">
                  <c:v>0.40333040000000009</c:v>
                </c:pt>
                <c:pt idx="1">
                  <c:v>0.70744960000000001</c:v>
                </c:pt>
              </c:numCache>
            </c:numRef>
          </c:xVal>
          <c:yVal>
            <c:numRef>
              <c:f>'interaction plot'!$B$43:$B$44</c:f>
              <c:numCache>
                <c:formatCode>General</c:formatCode>
                <c:ptCount val="2"/>
                <c:pt idx="0">
                  <c:v>0.15528220400000003</c:v>
                </c:pt>
                <c:pt idx="1">
                  <c:v>0.272368096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8E4-4895-8FBF-6774C9D132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1726864"/>
        <c:axId val="1273565424"/>
      </c:scatterChart>
      <c:valAx>
        <c:axId val="1311726864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565424"/>
        <c:crossesAt val="0.5"/>
        <c:crossBetween val="midCat"/>
      </c:valAx>
      <c:valAx>
        <c:axId val="1273565424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Similarity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726864"/>
        <c:crosses val="autoZero"/>
        <c:crossBetween val="midCat"/>
        <c:majorUnit val="0.1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831647104153175"/>
          <c:y val="4.3437866128041271E-2"/>
          <c:w val="0.8211485468131059"/>
          <c:h val="0.85308113459581947"/>
        </c:manualLayout>
      </c:layout>
      <c:scatterChart>
        <c:scatterStyle val="lineMarker"/>
        <c:varyColors val="0"/>
        <c:ser>
          <c:idx val="0"/>
          <c:order val="0"/>
          <c:tx>
            <c:strRef>
              <c:f>'interaction plot'!$B$16</c:f>
              <c:strCache>
                <c:ptCount val="1"/>
                <c:pt idx="0">
                  <c:v>AI Answer</c:v>
                </c:pt>
              </c:strCache>
            </c:strRef>
          </c:tx>
          <c:spPr>
            <a:ln w="19050" cap="flat" cmpd="sng" algn="ctr">
              <a:solidFill>
                <a:schemeClr val="accent4"/>
              </a:solidFill>
              <a:prstDash val="solid"/>
              <a:miter lim="800000"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2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19050" cap="flat" cmpd="sng" algn="ctr">
                <a:solidFill>
                  <a:schemeClr val="accent4"/>
                </a:solidFill>
                <a:prstDash val="dash"/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0-7104-40F8-95BE-8E1EEF518DD6}"/>
              </c:ext>
            </c:extLst>
          </c:dPt>
          <c:xVal>
            <c:numRef>
              <c:f>'interaction plot'!$A$17:$A$19</c:f>
              <c:numCache>
                <c:formatCode>General</c:formatCode>
                <c:ptCount val="3"/>
                <c:pt idx="0">
                  <c:v>6.2315934999999998</c:v>
                </c:pt>
                <c:pt idx="1">
                  <c:v>5.1203884999999998</c:v>
                </c:pt>
                <c:pt idx="2">
                  <c:v>0</c:v>
                </c:pt>
              </c:numCache>
            </c:numRef>
          </c:xVal>
          <c:yVal>
            <c:numRef>
              <c:f>'interaction plot'!$B$17:$B$19</c:f>
              <c:numCache>
                <c:formatCode>General</c:formatCode>
                <c:ptCount val="3"/>
                <c:pt idx="0">
                  <c:v>-5.4421707499999999E-2</c:v>
                </c:pt>
                <c:pt idx="1">
                  <c:v>-4.4174824999999862E-3</c:v>
                </c:pt>
                <c:pt idx="2">
                  <c:v>0.22600000000000001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85A-4607-8931-2D78CBA2F14B}"/>
            </c:ext>
          </c:extLst>
        </c:ser>
        <c:ser>
          <c:idx val="1"/>
          <c:order val="1"/>
          <c:tx>
            <c:strRef>
              <c:f>'interaction plot'!$C$16</c:f>
              <c:strCache>
                <c:ptCount val="1"/>
                <c:pt idx="0">
                  <c:v>No Answer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'interaction plot'!$A$17:$A$19</c:f>
              <c:numCache>
                <c:formatCode>General</c:formatCode>
                <c:ptCount val="3"/>
                <c:pt idx="0">
                  <c:v>6.2315934999999998</c:v>
                </c:pt>
                <c:pt idx="1">
                  <c:v>5.1203884999999998</c:v>
                </c:pt>
                <c:pt idx="2">
                  <c:v>0</c:v>
                </c:pt>
              </c:numCache>
            </c:numRef>
          </c:xVal>
          <c:yVal>
            <c:numRef>
              <c:f>'interaction plot'!$C$17:$C$19</c:f>
              <c:numCache>
                <c:formatCode>General</c:formatCode>
                <c:ptCount val="3"/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85A-4607-8931-2D78CBA2F1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3614864"/>
        <c:axId val="1273614384"/>
      </c:scatterChart>
      <c:valAx>
        <c:axId val="1273614384"/>
        <c:scaling>
          <c:orientation val="minMax"/>
          <c:max val="0.4"/>
          <c:min val="-0.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#answer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614864"/>
        <c:crosses val="autoZero"/>
        <c:crossBetween val="midCat"/>
        <c:majorUnit val="0.2"/>
      </c:valAx>
      <c:valAx>
        <c:axId val="12736148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614384"/>
        <c:crossesAt val="-0.30000000000000004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5166708695010179"/>
          <c:y val="0.10165455671610976"/>
          <c:w val="0.18846405449128323"/>
          <c:h val="0.1332762038849683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'interaction plot'!$B$23</c:f>
              <c:strCache>
                <c:ptCount val="1"/>
                <c:pt idx="0">
                  <c:v>AI Answer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'interaction plot'!$A$24:$A$27</c:f>
              <c:numCache>
                <c:formatCode>General</c:formatCode>
                <c:ptCount val="4"/>
                <c:pt idx="0">
                  <c:v>6.2315934999999998</c:v>
                </c:pt>
                <c:pt idx="1">
                  <c:v>5.1203884999999998</c:v>
                </c:pt>
                <c:pt idx="2">
                  <c:v>0</c:v>
                </c:pt>
                <c:pt idx="3">
                  <c:v>0</c:v>
                </c:pt>
              </c:numCache>
            </c:numRef>
          </c:xVal>
          <c:yVal>
            <c:numRef>
              <c:f>'interaction plot'!$B$24:$B$27</c:f>
              <c:numCache>
                <c:formatCode>General</c:formatCode>
                <c:ptCount val="4"/>
                <c:pt idx="0">
                  <c:v>-0.30157172450000003</c:v>
                </c:pt>
                <c:pt idx="1">
                  <c:v>-4.9328189499999953E-2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C9-F64E-B7E3-49212B2D3212}"/>
            </c:ext>
          </c:extLst>
        </c:ser>
        <c:ser>
          <c:idx val="1"/>
          <c:order val="1"/>
          <c:tx>
            <c:strRef>
              <c:f>'interaction plot'!$C$23</c:f>
              <c:strCache>
                <c:ptCount val="1"/>
                <c:pt idx="0">
                  <c:v>Human Answer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'interaction plot'!$A$24:$A$27</c:f>
              <c:numCache>
                <c:formatCode>General</c:formatCode>
                <c:ptCount val="4"/>
                <c:pt idx="0">
                  <c:v>6.2315934999999998</c:v>
                </c:pt>
                <c:pt idx="1">
                  <c:v>5.1203884999999998</c:v>
                </c:pt>
                <c:pt idx="2">
                  <c:v>0</c:v>
                </c:pt>
                <c:pt idx="3">
                  <c:v>0</c:v>
                </c:pt>
              </c:numCache>
            </c:numRef>
          </c:xVal>
          <c:yVal>
            <c:numRef>
              <c:f>'interaction plot'!$C$24:$C$27</c:f>
              <c:numCache>
                <c:formatCode>General</c:formatCode>
                <c:ptCount val="4"/>
                <c:pt idx="2">
                  <c:v>0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C9-F64E-B7E3-49212B2D32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3614864"/>
        <c:axId val="1273614384"/>
      </c:scatterChart>
      <c:valAx>
        <c:axId val="127361438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#answer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614864"/>
        <c:crosses val="autoZero"/>
        <c:crossBetween val="midCat"/>
      </c:valAx>
      <c:valAx>
        <c:axId val="12736148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614384"/>
        <c:crossesAt val="-0.30000000000000004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4.xml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0.xml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110</xdr:row>
      <xdr:rowOff>0</xdr:rowOff>
    </xdr:from>
    <xdr:to>
      <xdr:col>10</xdr:col>
      <xdr:colOff>88900</xdr:colOff>
      <xdr:row>110</xdr:row>
      <xdr:rowOff>177800</xdr:rowOff>
    </xdr:to>
    <xdr:pic>
      <xdr:nvPicPr>
        <xdr:cNvPr id="4097" name="Picture 1">
          <a:extLst>
            <a:ext uri="{FF2B5EF4-FFF2-40B4-BE49-F238E27FC236}">
              <a16:creationId xmlns:a16="http://schemas.microsoft.com/office/drawing/2014/main" id="{8AA38731-6B98-D316-7D19-E478C0C611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49500" y="21082000"/>
          <a:ext cx="889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109</xdr:row>
      <xdr:rowOff>0</xdr:rowOff>
    </xdr:from>
    <xdr:to>
      <xdr:col>11</xdr:col>
      <xdr:colOff>152400</xdr:colOff>
      <xdr:row>109</xdr:row>
      <xdr:rowOff>165100</xdr:rowOff>
    </xdr:to>
    <xdr:pic>
      <xdr:nvPicPr>
        <xdr:cNvPr id="4098" name="Picture 2">
          <a:extLst>
            <a:ext uri="{FF2B5EF4-FFF2-40B4-BE49-F238E27FC236}">
              <a16:creationId xmlns:a16="http://schemas.microsoft.com/office/drawing/2014/main" id="{6F967735-B6DA-8C2D-8489-66D2AB2A28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84600" y="20802600"/>
          <a:ext cx="1524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0</xdr:colOff>
      <xdr:row>109</xdr:row>
      <xdr:rowOff>0</xdr:rowOff>
    </xdr:from>
    <xdr:to>
      <xdr:col>12</xdr:col>
      <xdr:colOff>279400</xdr:colOff>
      <xdr:row>109</xdr:row>
      <xdr:rowOff>165100</xdr:rowOff>
    </xdr:to>
    <xdr:pic>
      <xdr:nvPicPr>
        <xdr:cNvPr id="4099" name="Picture 3">
          <a:extLst>
            <a:ext uri="{FF2B5EF4-FFF2-40B4-BE49-F238E27FC236}">
              <a16:creationId xmlns:a16="http://schemas.microsoft.com/office/drawing/2014/main" id="{C320F611-D4C3-D5B1-576D-AD226F99FC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19700" y="20802600"/>
          <a:ext cx="2794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0</xdr:colOff>
      <xdr:row>110</xdr:row>
      <xdr:rowOff>0</xdr:rowOff>
    </xdr:from>
    <xdr:to>
      <xdr:col>13</xdr:col>
      <xdr:colOff>139700</xdr:colOff>
      <xdr:row>110</xdr:row>
      <xdr:rowOff>165100</xdr:rowOff>
    </xdr:to>
    <xdr:pic>
      <xdr:nvPicPr>
        <xdr:cNvPr id="4100" name="Picture 4">
          <a:extLst>
            <a:ext uri="{FF2B5EF4-FFF2-40B4-BE49-F238E27FC236}">
              <a16:creationId xmlns:a16="http://schemas.microsoft.com/office/drawing/2014/main" id="{7BD0F9AF-A9E3-E1AC-21CC-1C13E3D40B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96100" y="21082000"/>
          <a:ext cx="1397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0</xdr:colOff>
      <xdr:row>109</xdr:row>
      <xdr:rowOff>0</xdr:rowOff>
    </xdr:from>
    <xdr:to>
      <xdr:col>14</xdr:col>
      <xdr:colOff>76200</xdr:colOff>
      <xdr:row>109</xdr:row>
      <xdr:rowOff>165100</xdr:rowOff>
    </xdr:to>
    <xdr:pic>
      <xdr:nvPicPr>
        <xdr:cNvPr id="4101" name="Picture 5">
          <a:extLst>
            <a:ext uri="{FF2B5EF4-FFF2-40B4-BE49-F238E27FC236}">
              <a16:creationId xmlns:a16="http://schemas.microsoft.com/office/drawing/2014/main" id="{1B6428B2-AD1D-D7E2-C3AE-F4B51B77B8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424900" y="20802600"/>
          <a:ext cx="762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0</xdr:colOff>
      <xdr:row>110</xdr:row>
      <xdr:rowOff>0</xdr:rowOff>
    </xdr:from>
    <xdr:to>
      <xdr:col>14</xdr:col>
      <xdr:colOff>279400</xdr:colOff>
      <xdr:row>110</xdr:row>
      <xdr:rowOff>165100</xdr:rowOff>
    </xdr:to>
    <xdr:pic>
      <xdr:nvPicPr>
        <xdr:cNvPr id="4102" name="Picture 6">
          <a:extLst>
            <a:ext uri="{FF2B5EF4-FFF2-40B4-BE49-F238E27FC236}">
              <a16:creationId xmlns:a16="http://schemas.microsoft.com/office/drawing/2014/main" id="{CD7D4A9A-CAB4-1732-EF96-1126977788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424900" y="21082000"/>
          <a:ext cx="2794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34</xdr:row>
      <xdr:rowOff>0</xdr:rowOff>
    </xdr:from>
    <xdr:to>
      <xdr:col>9</xdr:col>
      <xdr:colOff>435428</xdr:colOff>
      <xdr:row>50</xdr:row>
      <xdr:rowOff>7257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574B32-3949-481C-8BEC-52FABF1018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33</xdr:row>
      <xdr:rowOff>192314</xdr:rowOff>
    </xdr:from>
    <xdr:to>
      <xdr:col>17</xdr:col>
      <xdr:colOff>544286</xdr:colOff>
      <xdr:row>50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82B1A89-671C-4F64-B779-D8C23FBC2A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13</xdr:row>
      <xdr:rowOff>50800</xdr:rowOff>
    </xdr:from>
    <xdr:to>
      <xdr:col>9</xdr:col>
      <xdr:colOff>435428</xdr:colOff>
      <xdr:row>32</xdr:row>
      <xdr:rowOff>7257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F70A5B8-39A6-439C-8F07-672ACD312D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18</xdr:col>
      <xdr:colOff>449867</xdr:colOff>
      <xdr:row>28</xdr:row>
      <xdr:rowOff>143783</xdr:rowOff>
    </xdr:from>
    <xdr:to>
      <xdr:col>37</xdr:col>
      <xdr:colOff>193542</xdr:colOff>
      <xdr:row>49</xdr:row>
      <xdr:rowOff>163287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D765B9C-2DFD-422E-9BED-D062444E6C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91767" y="5020583"/>
          <a:ext cx="12532575" cy="4286703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304800</xdr:colOff>
      <xdr:row>51</xdr:row>
      <xdr:rowOff>101600</xdr:rowOff>
    </xdr:to>
    <xdr:sp macro="" textlink="">
      <xdr:nvSpPr>
        <xdr:cNvPr id="6" name="AutoShape 1" descr="Image preview">
          <a:extLst>
            <a:ext uri="{FF2B5EF4-FFF2-40B4-BE49-F238E27FC236}">
              <a16:creationId xmlns:a16="http://schemas.microsoft.com/office/drawing/2014/main" id="{71C9965A-E9D7-4B7E-A4A0-5BDF820043EE}"/>
            </a:ext>
          </a:extLst>
        </xdr:cNvPr>
        <xdr:cNvSpPr>
          <a:spLocks noChangeAspect="1" noChangeArrowheads="1"/>
        </xdr:cNvSpPr>
      </xdr:nvSpPr>
      <xdr:spPr bwMode="auto">
        <a:xfrm>
          <a:off x="3505200" y="975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304800</xdr:colOff>
      <xdr:row>51</xdr:row>
      <xdr:rowOff>101600</xdr:rowOff>
    </xdr:to>
    <xdr:sp macro="" textlink="">
      <xdr:nvSpPr>
        <xdr:cNvPr id="7" name="AutoShape 2" descr="Image preview">
          <a:extLst>
            <a:ext uri="{FF2B5EF4-FFF2-40B4-BE49-F238E27FC236}">
              <a16:creationId xmlns:a16="http://schemas.microsoft.com/office/drawing/2014/main" id="{EC3CF81E-DF6A-4240-86DF-E4376CDA0FDC}"/>
            </a:ext>
          </a:extLst>
        </xdr:cNvPr>
        <xdr:cNvSpPr>
          <a:spLocks noChangeAspect="1" noChangeArrowheads="1"/>
        </xdr:cNvSpPr>
      </xdr:nvSpPr>
      <xdr:spPr bwMode="auto">
        <a:xfrm>
          <a:off x="3505200" y="975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203201</xdr:colOff>
      <xdr:row>4</xdr:row>
      <xdr:rowOff>88900</xdr:rowOff>
    </xdr:from>
    <xdr:to>
      <xdr:col>34</xdr:col>
      <xdr:colOff>92531</xdr:colOff>
      <xdr:row>18</xdr:row>
      <xdr:rowOff>190500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B169A3A-E1FE-4D7E-B528-C9071AB61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291301" y="901700"/>
          <a:ext cx="9312730" cy="294640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13</xdr:row>
      <xdr:rowOff>50800</xdr:rowOff>
    </xdr:from>
    <xdr:to>
      <xdr:col>17</xdr:col>
      <xdr:colOff>544286</xdr:colOff>
      <xdr:row>32</xdr:row>
      <xdr:rowOff>7257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9016322-D8E2-455A-8E7E-287501ACF1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0</xdr:rowOff>
    </xdr:from>
    <xdr:to>
      <xdr:col>4</xdr:col>
      <xdr:colOff>0</xdr:colOff>
      <xdr:row>33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069649-D9AA-EEB2-F5E0-AC9A344291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19</xdr:row>
      <xdr:rowOff>0</xdr:rowOff>
    </xdr:from>
    <xdr:to>
      <xdr:col>10</xdr:col>
      <xdr:colOff>0</xdr:colOff>
      <xdr:row>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9D53988-E13B-4E5C-9DAB-9F7A656646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321235</xdr:colOff>
      <xdr:row>31</xdr:row>
      <xdr:rowOff>141942</xdr:rowOff>
    </xdr:from>
    <xdr:to>
      <xdr:col>10</xdr:col>
      <xdr:colOff>122144</xdr:colOff>
      <xdr:row>49</xdr:row>
      <xdr:rowOff>141942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5F35F4-4F78-F09A-1411-301EED5CD9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612588</xdr:colOff>
      <xdr:row>30</xdr:row>
      <xdr:rowOff>147171</xdr:rowOff>
    </xdr:from>
    <xdr:to>
      <xdr:col>17</xdr:col>
      <xdr:colOff>546847</xdr:colOff>
      <xdr:row>48</xdr:row>
      <xdr:rowOff>147171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6D2A80C-472F-408F-BEF5-E9C34BF73E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179293</xdr:colOff>
      <xdr:row>14</xdr:row>
      <xdr:rowOff>89647</xdr:rowOff>
    </xdr:from>
    <xdr:to>
      <xdr:col>9</xdr:col>
      <xdr:colOff>652555</xdr:colOff>
      <xdr:row>30</xdr:row>
      <xdr:rowOff>78441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1E249C9-4B8D-4F05-8B32-429BFD89A2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18</xdr:col>
      <xdr:colOff>449867</xdr:colOff>
      <xdr:row>24</xdr:row>
      <xdr:rowOff>143783</xdr:rowOff>
    </xdr:from>
    <xdr:to>
      <xdr:col>37</xdr:col>
      <xdr:colOff>193542</xdr:colOff>
      <xdr:row>45</xdr:row>
      <xdr:rowOff>163286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AAF9530-9074-3D9E-DAB5-C717D273C6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66367" y="4933497"/>
          <a:ext cx="12498104" cy="4210503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48</xdr:row>
      <xdr:rowOff>0</xdr:rowOff>
    </xdr:from>
    <xdr:to>
      <xdr:col>2</xdr:col>
      <xdr:colOff>304800</xdr:colOff>
      <xdr:row>49</xdr:row>
      <xdr:rowOff>101600</xdr:rowOff>
    </xdr:to>
    <xdr:sp macro="" textlink="">
      <xdr:nvSpPr>
        <xdr:cNvPr id="1025" name="AutoShape 1" descr="Image preview">
          <a:extLst>
            <a:ext uri="{FF2B5EF4-FFF2-40B4-BE49-F238E27FC236}">
              <a16:creationId xmlns:a16="http://schemas.microsoft.com/office/drawing/2014/main" id="{210F1A9D-14D6-F36B-F88B-196245D7BF08}"/>
            </a:ext>
          </a:extLst>
        </xdr:cNvPr>
        <xdr:cNvSpPr>
          <a:spLocks noChangeAspect="1" noChangeArrowheads="1"/>
        </xdr:cNvSpPr>
      </xdr:nvSpPr>
      <xdr:spPr bwMode="auto">
        <a:xfrm>
          <a:off x="2781300" y="812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48</xdr:row>
      <xdr:rowOff>0</xdr:rowOff>
    </xdr:from>
    <xdr:to>
      <xdr:col>2</xdr:col>
      <xdr:colOff>304800</xdr:colOff>
      <xdr:row>49</xdr:row>
      <xdr:rowOff>101600</xdr:rowOff>
    </xdr:to>
    <xdr:sp macro="" textlink="">
      <xdr:nvSpPr>
        <xdr:cNvPr id="1026" name="AutoShape 2" descr="Image preview">
          <a:extLst>
            <a:ext uri="{FF2B5EF4-FFF2-40B4-BE49-F238E27FC236}">
              <a16:creationId xmlns:a16="http://schemas.microsoft.com/office/drawing/2014/main" id="{A55E1214-2FF2-9958-64CA-3203046C9D33}"/>
            </a:ext>
          </a:extLst>
        </xdr:cNvPr>
        <xdr:cNvSpPr>
          <a:spLocks noChangeAspect="1" noChangeArrowheads="1"/>
        </xdr:cNvSpPr>
      </xdr:nvSpPr>
      <xdr:spPr bwMode="auto">
        <a:xfrm>
          <a:off x="2781300" y="812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203201</xdr:colOff>
      <xdr:row>4</xdr:row>
      <xdr:rowOff>88900</xdr:rowOff>
    </xdr:from>
    <xdr:to>
      <xdr:col>34</xdr:col>
      <xdr:colOff>92531</xdr:colOff>
      <xdr:row>18</xdr:row>
      <xdr:rowOff>190500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43CBAF0-B5EB-994C-9ACF-5CE39DA607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367501" y="88900"/>
          <a:ext cx="9312730" cy="294640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15</xdr:row>
      <xdr:rowOff>0</xdr:rowOff>
    </xdr:from>
    <xdr:to>
      <xdr:col>17</xdr:col>
      <xdr:colOff>574861</xdr:colOff>
      <xdr:row>30</xdr:row>
      <xdr:rowOff>190500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374491E-7B00-A841-95C2-90A9D4479F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9AEC0-54B9-D34E-9D08-68B347ADF48B}">
  <dimension ref="B1:N243"/>
  <sheetViews>
    <sheetView tabSelected="1" topLeftCell="A24" zoomScale="110" zoomScaleNormal="110" workbookViewId="0">
      <selection activeCell="E52" sqref="E52"/>
    </sheetView>
  </sheetViews>
  <sheetFormatPr baseColWidth="10" defaultRowHeight="16" x14ac:dyDescent="0.2"/>
  <cols>
    <col min="3" max="3" width="38" bestFit="1" customWidth="1"/>
    <col min="4" max="4" width="57.6640625" bestFit="1" customWidth="1"/>
    <col min="5" max="6" width="55.33203125" customWidth="1"/>
    <col min="7" max="7" width="55.33203125" style="219" customWidth="1"/>
    <col min="8" max="8" width="12.33203125" bestFit="1" customWidth="1"/>
    <col min="9" max="9" width="35" bestFit="1" customWidth="1"/>
  </cols>
  <sheetData>
    <row r="1" spans="2:14" x14ac:dyDescent="0.2">
      <c r="C1" s="224" t="s">
        <v>840</v>
      </c>
      <c r="D1" s="224" t="s">
        <v>842</v>
      </c>
      <c r="E1" s="224" t="s">
        <v>841</v>
      </c>
      <c r="F1" s="224" t="s">
        <v>844</v>
      </c>
      <c r="G1" s="219" t="s">
        <v>766</v>
      </c>
    </row>
    <row r="2" spans="2:14" x14ac:dyDescent="0.2">
      <c r="B2" s="1" t="s">
        <v>556</v>
      </c>
      <c r="C2" s="1" t="s">
        <v>839</v>
      </c>
      <c r="D2" t="s">
        <v>843</v>
      </c>
      <c r="E2" s="1" t="s">
        <v>562</v>
      </c>
      <c r="F2" s="223" t="s">
        <v>845</v>
      </c>
      <c r="G2" s="41"/>
      <c r="H2" s="42" t="s">
        <v>340</v>
      </c>
      <c r="I2" s="42" t="s">
        <v>341</v>
      </c>
      <c r="J2" s="39"/>
    </row>
    <row r="3" spans="2:14" x14ac:dyDescent="0.2">
      <c r="G3" s="39"/>
      <c r="H3" s="112" t="s">
        <v>534</v>
      </c>
      <c r="I3" s="112" t="s">
        <v>535</v>
      </c>
      <c r="J3" s="39"/>
    </row>
    <row r="4" spans="2:14" x14ac:dyDescent="0.2">
      <c r="G4" s="43" t="s">
        <v>388</v>
      </c>
      <c r="H4" s="155" t="s">
        <v>399</v>
      </c>
      <c r="I4" s="155"/>
      <c r="J4" s="38"/>
    </row>
    <row r="5" spans="2:14" x14ac:dyDescent="0.2">
      <c r="B5" s="1"/>
      <c r="C5" s="1"/>
      <c r="D5" s="1"/>
      <c r="G5" s="156" t="s">
        <v>334</v>
      </c>
      <c r="H5" s="44" t="s">
        <v>526</v>
      </c>
      <c r="I5" s="44" t="s">
        <v>528</v>
      </c>
      <c r="J5" s="38" t="s">
        <v>540</v>
      </c>
    </row>
    <row r="6" spans="2:14" x14ac:dyDescent="0.2">
      <c r="B6" s="1"/>
      <c r="C6" s="1"/>
      <c r="D6" s="1"/>
      <c r="G6" s="156"/>
      <c r="H6" s="44" t="s">
        <v>94</v>
      </c>
      <c r="I6" s="44" t="s">
        <v>529</v>
      </c>
      <c r="J6" s="38" t="s">
        <v>541</v>
      </c>
    </row>
    <row r="7" spans="2:14" x14ac:dyDescent="0.2">
      <c r="B7" s="1"/>
      <c r="C7" s="1"/>
      <c r="D7" s="1"/>
      <c r="G7" s="156" t="s">
        <v>401</v>
      </c>
      <c r="H7" s="44" t="s">
        <v>527</v>
      </c>
      <c r="I7" s="44" t="s">
        <v>55</v>
      </c>
      <c r="J7" s="38" t="s">
        <v>542</v>
      </c>
    </row>
    <row r="8" spans="2:14" x14ac:dyDescent="0.2">
      <c r="B8" s="1"/>
      <c r="C8" s="1"/>
      <c r="D8" s="1"/>
      <c r="G8" s="156"/>
      <c r="H8" s="44" t="s">
        <v>57</v>
      </c>
      <c r="I8" s="44" t="s">
        <v>530</v>
      </c>
      <c r="J8" s="38" t="s">
        <v>543</v>
      </c>
    </row>
    <row r="9" spans="2:14" x14ac:dyDescent="0.2">
      <c r="B9" s="1"/>
      <c r="C9" s="1"/>
      <c r="D9" s="1"/>
      <c r="G9" s="156" t="s">
        <v>402</v>
      </c>
      <c r="H9" s="44" t="s">
        <v>278</v>
      </c>
      <c r="I9" s="44" t="s">
        <v>531</v>
      </c>
      <c r="J9" s="38"/>
    </row>
    <row r="10" spans="2:14" x14ac:dyDescent="0.2">
      <c r="B10" s="1"/>
      <c r="C10" s="1"/>
      <c r="D10" s="1"/>
      <c r="G10" s="157"/>
      <c r="H10" s="45" t="s">
        <v>532</v>
      </c>
      <c r="I10" s="45" t="s">
        <v>533</v>
      </c>
      <c r="J10" s="38"/>
    </row>
    <row r="11" spans="2:14" x14ac:dyDescent="0.2">
      <c r="B11" s="1"/>
      <c r="C11" s="1"/>
      <c r="D11" s="1"/>
      <c r="G11" s="46" t="s">
        <v>335</v>
      </c>
      <c r="H11" s="44" t="s">
        <v>336</v>
      </c>
      <c r="I11" s="44" t="s">
        <v>336</v>
      </c>
      <c r="J11" s="38"/>
    </row>
    <row r="12" spans="2:14" x14ac:dyDescent="0.2">
      <c r="B12" s="1"/>
      <c r="C12" s="1"/>
      <c r="D12" s="1"/>
      <c r="G12" s="46" t="s">
        <v>337</v>
      </c>
      <c r="H12" s="44" t="s">
        <v>336</v>
      </c>
      <c r="I12" s="44" t="s">
        <v>336</v>
      </c>
      <c r="J12" s="38"/>
    </row>
    <row r="13" spans="2:14" x14ac:dyDescent="0.2">
      <c r="B13" s="1"/>
      <c r="C13" s="1"/>
      <c r="D13" s="1"/>
      <c r="G13" s="46" t="s">
        <v>338</v>
      </c>
      <c r="H13" s="44" t="s">
        <v>336</v>
      </c>
      <c r="I13" s="44" t="s">
        <v>336</v>
      </c>
      <c r="J13" s="38"/>
    </row>
    <row r="14" spans="2:14" x14ac:dyDescent="0.2">
      <c r="B14" s="1"/>
      <c r="C14" s="1"/>
      <c r="D14" s="1"/>
      <c r="G14" s="47" t="s">
        <v>339</v>
      </c>
      <c r="H14" s="45" t="s">
        <v>536</v>
      </c>
      <c r="I14" s="45" t="s">
        <v>537</v>
      </c>
      <c r="J14" s="39"/>
    </row>
    <row r="15" spans="2:14" ht="17" x14ac:dyDescent="0.25">
      <c r="B15" s="1" t="s">
        <v>557</v>
      </c>
      <c r="C15" t="s">
        <v>837</v>
      </c>
      <c r="D15" s="1" t="s">
        <v>846</v>
      </c>
      <c r="E15" t="s">
        <v>847</v>
      </c>
      <c r="G15" s="216" t="s">
        <v>795</v>
      </c>
      <c r="I15" s="216" t="s">
        <v>810</v>
      </c>
      <c r="J15" s="216"/>
      <c r="L15" s="1"/>
      <c r="M15" s="1"/>
      <c r="N15" s="1"/>
    </row>
    <row r="16" spans="2:14" ht="17" x14ac:dyDescent="0.25">
      <c r="B16" s="1"/>
      <c r="D16" t="s">
        <v>849</v>
      </c>
      <c r="E16" t="s">
        <v>848</v>
      </c>
      <c r="G16" s="216" t="s">
        <v>796</v>
      </c>
      <c r="I16" s="216" t="s">
        <v>811</v>
      </c>
      <c r="J16" s="216"/>
      <c r="L16" s="1"/>
      <c r="M16" s="1"/>
      <c r="N16" s="1"/>
    </row>
    <row r="17" spans="2:14" ht="17" x14ac:dyDescent="0.25">
      <c r="B17" s="1"/>
      <c r="G17" s="216" t="s">
        <v>797</v>
      </c>
      <c r="I17" s="216" t="s">
        <v>812</v>
      </c>
      <c r="J17" s="216"/>
      <c r="L17" s="1"/>
      <c r="M17" s="1"/>
      <c r="N17" s="1"/>
    </row>
    <row r="18" spans="2:14" ht="17" x14ac:dyDescent="0.25">
      <c r="B18" s="1"/>
      <c r="G18" s="216" t="s">
        <v>798</v>
      </c>
      <c r="I18" s="216" t="s">
        <v>813</v>
      </c>
      <c r="J18" s="216"/>
      <c r="L18" s="1"/>
      <c r="M18" s="1"/>
      <c r="N18" s="1"/>
    </row>
    <row r="19" spans="2:14" ht="17" x14ac:dyDescent="0.25">
      <c r="B19" s="1"/>
      <c r="G19" s="216" t="s">
        <v>806</v>
      </c>
      <c r="I19" s="216" t="s">
        <v>814</v>
      </c>
      <c r="J19" s="216"/>
      <c r="L19" s="1"/>
      <c r="M19" s="1"/>
      <c r="N19" s="1"/>
    </row>
    <row r="20" spans="2:14" ht="17" x14ac:dyDescent="0.25">
      <c r="B20" s="1"/>
      <c r="F20" s="222" t="s">
        <v>829</v>
      </c>
      <c r="G20" s="216" t="s">
        <v>828</v>
      </c>
      <c r="I20" s="216" t="s">
        <v>815</v>
      </c>
      <c r="J20" s="216"/>
      <c r="L20" s="1"/>
      <c r="M20" s="1"/>
      <c r="N20" s="1"/>
    </row>
    <row r="21" spans="2:14" ht="17" x14ac:dyDescent="0.25">
      <c r="B21" s="1"/>
      <c r="F21" s="222" t="s">
        <v>830</v>
      </c>
      <c r="G21" s="216" t="s">
        <v>807</v>
      </c>
      <c r="I21" s="216" t="s">
        <v>816</v>
      </c>
      <c r="J21" s="216"/>
      <c r="L21" s="1"/>
      <c r="M21" s="1"/>
      <c r="N21" s="1"/>
    </row>
    <row r="22" spans="2:14" ht="17" x14ac:dyDescent="0.25">
      <c r="B22" s="1"/>
      <c r="F22" s="222" t="s">
        <v>831</v>
      </c>
      <c r="G22" s="216" t="s">
        <v>799</v>
      </c>
      <c r="I22" s="216" t="s">
        <v>817</v>
      </c>
      <c r="J22" s="216"/>
      <c r="L22" s="1"/>
      <c r="M22" s="1"/>
      <c r="N22" s="1"/>
    </row>
    <row r="23" spans="2:14" ht="17" x14ac:dyDescent="0.25">
      <c r="B23" s="1"/>
      <c r="F23" s="223"/>
      <c r="G23" s="216" t="s">
        <v>808</v>
      </c>
      <c r="I23" s="216" t="s">
        <v>818</v>
      </c>
      <c r="J23" s="216"/>
      <c r="L23" s="1"/>
      <c r="M23" s="1"/>
      <c r="N23" s="1"/>
    </row>
    <row r="24" spans="2:14" ht="17" x14ac:dyDescent="0.25">
      <c r="B24" s="1"/>
      <c r="F24" s="223" t="s">
        <v>835</v>
      </c>
      <c r="G24" s="216" t="s">
        <v>800</v>
      </c>
      <c r="I24" s="216" t="s">
        <v>819</v>
      </c>
      <c r="J24" s="216"/>
      <c r="L24" s="1"/>
      <c r="M24" s="1"/>
      <c r="N24" s="1"/>
    </row>
    <row r="25" spans="2:14" ht="17" x14ac:dyDescent="0.25">
      <c r="B25" s="1"/>
      <c r="C25" s="222"/>
      <c r="D25" s="222"/>
      <c r="F25" s="223" t="s">
        <v>836</v>
      </c>
      <c r="G25" s="216" t="s">
        <v>809</v>
      </c>
      <c r="I25" s="216" t="s">
        <v>820</v>
      </c>
      <c r="J25" s="216"/>
      <c r="L25" s="1"/>
      <c r="M25" s="1"/>
      <c r="N25" s="1"/>
    </row>
    <row r="26" spans="2:14" ht="17" x14ac:dyDescent="0.25">
      <c r="B26" s="1"/>
      <c r="C26" s="222"/>
      <c r="D26" s="222"/>
      <c r="F26" s="223" t="s">
        <v>838</v>
      </c>
      <c r="G26" s="216" t="s">
        <v>797</v>
      </c>
      <c r="I26" s="216" t="s">
        <v>821</v>
      </c>
      <c r="J26" s="216"/>
      <c r="L26" s="1"/>
      <c r="M26" s="1"/>
      <c r="N26" s="1"/>
    </row>
    <row r="27" spans="2:14" ht="17" x14ac:dyDescent="0.25">
      <c r="B27" s="1"/>
      <c r="C27" s="1"/>
      <c r="D27" s="1"/>
      <c r="G27" s="216" t="s">
        <v>801</v>
      </c>
      <c r="I27" s="216" t="s">
        <v>822</v>
      </c>
      <c r="J27" s="216"/>
      <c r="L27" s="1"/>
      <c r="M27" s="1"/>
      <c r="N27" s="1"/>
    </row>
    <row r="28" spans="2:14" ht="17" x14ac:dyDescent="0.25">
      <c r="B28" s="1"/>
      <c r="C28" s="1"/>
      <c r="D28" s="1"/>
      <c r="G28" s="216" t="s">
        <v>802</v>
      </c>
      <c r="I28" s="216" t="s">
        <v>823</v>
      </c>
      <c r="J28" s="216"/>
      <c r="L28" s="1"/>
      <c r="M28" s="1"/>
      <c r="N28" s="1"/>
    </row>
    <row r="29" spans="2:14" ht="17" x14ac:dyDescent="0.25">
      <c r="B29" s="1"/>
      <c r="C29" s="1"/>
      <c r="D29" s="1"/>
      <c r="G29" s="216" t="s">
        <v>803</v>
      </c>
      <c r="I29" s="216" t="s">
        <v>824</v>
      </c>
      <c r="J29" s="216"/>
      <c r="L29" s="1"/>
      <c r="M29" s="1"/>
      <c r="N29" s="1"/>
    </row>
    <row r="30" spans="2:14" ht="17" x14ac:dyDescent="0.25">
      <c r="B30" s="1"/>
      <c r="C30" s="1"/>
      <c r="D30" s="1"/>
      <c r="G30" s="216" t="s">
        <v>804</v>
      </c>
      <c r="I30" s="216" t="s">
        <v>825</v>
      </c>
      <c r="J30" s="216"/>
      <c r="L30" s="1"/>
      <c r="M30" s="1"/>
      <c r="N30" s="1"/>
    </row>
    <row r="31" spans="2:14" ht="17" x14ac:dyDescent="0.25">
      <c r="B31" s="1"/>
      <c r="C31" s="1"/>
      <c r="D31" s="1"/>
      <c r="G31" s="216" t="s">
        <v>805</v>
      </c>
      <c r="I31" s="216" t="s">
        <v>826</v>
      </c>
      <c r="J31" s="216"/>
      <c r="L31" s="1"/>
      <c r="M31" s="1"/>
      <c r="N31" s="1"/>
    </row>
    <row r="32" spans="2:14" ht="17" x14ac:dyDescent="0.25">
      <c r="B32" s="1"/>
      <c r="C32" s="1"/>
      <c r="D32" s="1"/>
      <c r="G32" s="216" t="s">
        <v>795</v>
      </c>
      <c r="I32" s="216" t="s">
        <v>812</v>
      </c>
      <c r="J32" s="216"/>
      <c r="L32" s="1"/>
      <c r="M32" s="1"/>
      <c r="N32" s="1"/>
    </row>
    <row r="33" spans="2:14" ht="17" x14ac:dyDescent="0.25">
      <c r="B33" s="1"/>
      <c r="C33" s="1"/>
      <c r="D33" s="1"/>
      <c r="G33" s="216" t="s">
        <v>588</v>
      </c>
      <c r="I33" s="216" t="s">
        <v>827</v>
      </c>
      <c r="J33" s="216"/>
      <c r="L33" s="1"/>
      <c r="M33" s="1"/>
      <c r="N33" s="1"/>
    </row>
    <row r="34" spans="2:14" x14ac:dyDescent="0.2">
      <c r="B34" s="1" t="s">
        <v>558</v>
      </c>
      <c r="C34" t="s">
        <v>851</v>
      </c>
      <c r="D34" s="1" t="s">
        <v>852</v>
      </c>
      <c r="E34" s="1" t="s">
        <v>727</v>
      </c>
      <c r="F34" s="1"/>
      <c r="I34" s="1"/>
      <c r="J34" s="1"/>
      <c r="K34" s="1"/>
      <c r="L34" s="1"/>
      <c r="M34" s="1"/>
      <c r="N34" s="1"/>
    </row>
    <row r="35" spans="2:14" ht="17" x14ac:dyDescent="0.25">
      <c r="B35" s="1" t="s">
        <v>559</v>
      </c>
      <c r="C35" s="1" t="s">
        <v>850</v>
      </c>
      <c r="D35" s="1" t="s">
        <v>854</v>
      </c>
      <c r="G35" s="221" t="s">
        <v>772</v>
      </c>
    </row>
    <row r="36" spans="2:14" ht="17" x14ac:dyDescent="0.25">
      <c r="B36" s="1"/>
      <c r="C36" s="1"/>
      <c r="D36" s="1" t="s">
        <v>855</v>
      </c>
      <c r="E36" t="s">
        <v>771</v>
      </c>
      <c r="G36" s="221" t="s">
        <v>773</v>
      </c>
    </row>
    <row r="37" spans="2:14" ht="17" x14ac:dyDescent="0.25">
      <c r="B37" s="1"/>
      <c r="C37" s="1"/>
      <c r="D37" s="1" t="s">
        <v>856</v>
      </c>
      <c r="G37" s="221" t="s">
        <v>774</v>
      </c>
    </row>
    <row r="38" spans="2:14" ht="17" x14ac:dyDescent="0.25">
      <c r="B38" s="1"/>
      <c r="C38" s="1"/>
      <c r="D38" s="1"/>
      <c r="G38" s="221" t="s">
        <v>775</v>
      </c>
    </row>
    <row r="39" spans="2:14" ht="17" x14ac:dyDescent="0.25">
      <c r="B39" s="1"/>
      <c r="C39" s="1"/>
      <c r="D39" s="1"/>
      <c r="G39" s="221" t="s">
        <v>781</v>
      </c>
    </row>
    <row r="40" spans="2:14" ht="17" x14ac:dyDescent="0.25">
      <c r="B40" s="1"/>
      <c r="C40" s="1"/>
      <c r="D40" s="1"/>
      <c r="G40" s="221" t="s">
        <v>774</v>
      </c>
    </row>
    <row r="41" spans="2:14" ht="17" x14ac:dyDescent="0.25">
      <c r="G41" s="221" t="s">
        <v>776</v>
      </c>
    </row>
    <row r="42" spans="2:14" ht="17" x14ac:dyDescent="0.25">
      <c r="G42" s="221" t="s">
        <v>777</v>
      </c>
    </row>
    <row r="43" spans="2:14" ht="17" x14ac:dyDescent="0.25">
      <c r="G43" s="221" t="s">
        <v>778</v>
      </c>
    </row>
    <row r="44" spans="2:14" ht="17" x14ac:dyDescent="0.25">
      <c r="G44" s="221" t="s">
        <v>779</v>
      </c>
    </row>
    <row r="45" spans="2:14" ht="17" x14ac:dyDescent="0.25">
      <c r="G45" s="221" t="s">
        <v>780</v>
      </c>
    </row>
    <row r="46" spans="2:14" ht="17" x14ac:dyDescent="0.25">
      <c r="G46" s="221" t="s">
        <v>772</v>
      </c>
    </row>
    <row r="47" spans="2:14" ht="17" x14ac:dyDescent="0.25">
      <c r="G47" s="221" t="s">
        <v>588</v>
      </c>
    </row>
    <row r="48" spans="2:14" ht="16" customHeight="1" x14ac:dyDescent="0.2">
      <c r="G48" s="1"/>
      <c r="H48" s="214" t="s">
        <v>127</v>
      </c>
      <c r="I48" s="214"/>
    </row>
    <row r="49" spans="4:9" x14ac:dyDescent="0.2">
      <c r="G49" s="172" t="s">
        <v>5</v>
      </c>
      <c r="H49" s="215" t="s">
        <v>64</v>
      </c>
      <c r="I49" s="215" t="s">
        <v>53</v>
      </c>
    </row>
    <row r="50" spans="4:9" x14ac:dyDescent="0.2">
      <c r="G50" s="173"/>
      <c r="H50" s="215" t="s">
        <v>65</v>
      </c>
      <c r="I50" s="215" t="s">
        <v>239</v>
      </c>
    </row>
    <row r="51" spans="4:9" x14ac:dyDescent="0.2">
      <c r="G51" s="172" t="s">
        <v>186</v>
      </c>
      <c r="H51" s="215"/>
      <c r="I51" s="215" t="s">
        <v>97</v>
      </c>
    </row>
    <row r="52" spans="4:9" x14ac:dyDescent="0.2">
      <c r="G52" s="173"/>
      <c r="H52" s="215"/>
      <c r="I52" s="215" t="s">
        <v>241</v>
      </c>
    </row>
    <row r="53" spans="4:9" x14ac:dyDescent="0.2">
      <c r="G53" s="172" t="s">
        <v>229</v>
      </c>
      <c r="H53" s="215"/>
      <c r="I53" s="215" t="s">
        <v>273</v>
      </c>
    </row>
    <row r="54" spans="4:9" x14ac:dyDescent="0.2">
      <c r="G54" s="173"/>
      <c r="H54" s="215"/>
      <c r="I54" s="215" t="s">
        <v>217</v>
      </c>
    </row>
    <row r="55" spans="4:9" x14ac:dyDescent="0.2">
      <c r="G55" s="172" t="s">
        <v>134</v>
      </c>
      <c r="H55" s="215"/>
      <c r="I55" s="215" t="s">
        <v>140</v>
      </c>
    </row>
    <row r="56" spans="4:9" x14ac:dyDescent="0.2">
      <c r="G56" s="173"/>
      <c r="H56" s="215"/>
      <c r="I56" s="215" t="s">
        <v>213</v>
      </c>
    </row>
    <row r="57" spans="4:9" x14ac:dyDescent="0.2">
      <c r="G57" s="172" t="s">
        <v>149</v>
      </c>
      <c r="H57" s="215"/>
      <c r="I57" s="215" t="s">
        <v>285</v>
      </c>
    </row>
    <row r="58" spans="4:9" x14ac:dyDescent="0.2">
      <c r="G58" s="173"/>
      <c r="H58" s="215"/>
      <c r="I58" s="215" t="s">
        <v>60</v>
      </c>
    </row>
    <row r="59" spans="4:9" x14ac:dyDescent="0.2">
      <c r="G59" s="3" t="s">
        <v>14</v>
      </c>
      <c r="H59" s="215" t="s">
        <v>66</v>
      </c>
      <c r="I59" s="215" t="s">
        <v>152</v>
      </c>
    </row>
    <row r="60" spans="4:9" ht="17" x14ac:dyDescent="0.25">
      <c r="D60" t="s">
        <v>853</v>
      </c>
      <c r="E60" t="s">
        <v>768</v>
      </c>
      <c r="G60" s="221" t="s">
        <v>782</v>
      </c>
    </row>
    <row r="61" spans="4:9" ht="17" x14ac:dyDescent="0.25">
      <c r="G61" s="221" t="s">
        <v>784</v>
      </c>
    </row>
    <row r="62" spans="4:9" ht="17" x14ac:dyDescent="0.25">
      <c r="G62" s="221" t="s">
        <v>783</v>
      </c>
    </row>
    <row r="63" spans="4:9" ht="17" x14ac:dyDescent="0.25">
      <c r="G63" s="221" t="s">
        <v>785</v>
      </c>
    </row>
    <row r="64" spans="4:9" ht="17" x14ac:dyDescent="0.25">
      <c r="G64" s="221" t="s">
        <v>786</v>
      </c>
    </row>
    <row r="65" spans="7:7" ht="17" x14ac:dyDescent="0.25">
      <c r="G65" s="221" t="s">
        <v>787</v>
      </c>
    </row>
    <row r="66" spans="7:7" ht="17" x14ac:dyDescent="0.25">
      <c r="G66" s="221" t="s">
        <v>788</v>
      </c>
    </row>
    <row r="67" spans="7:7" ht="17" x14ac:dyDescent="0.25">
      <c r="G67" s="221" t="s">
        <v>789</v>
      </c>
    </row>
    <row r="68" spans="7:7" ht="17" x14ac:dyDescent="0.25">
      <c r="G68" s="221" t="s">
        <v>790</v>
      </c>
    </row>
    <row r="69" spans="7:7" ht="17" x14ac:dyDescent="0.25">
      <c r="G69" s="221" t="s">
        <v>791</v>
      </c>
    </row>
    <row r="70" spans="7:7" ht="17" x14ac:dyDescent="0.25">
      <c r="G70" s="221" t="s">
        <v>792</v>
      </c>
    </row>
    <row r="71" spans="7:7" ht="17" x14ac:dyDescent="0.25">
      <c r="G71" s="221" t="s">
        <v>793</v>
      </c>
    </row>
    <row r="72" spans="7:7" ht="17" x14ac:dyDescent="0.25">
      <c r="G72" s="221" t="s">
        <v>792</v>
      </c>
    </row>
    <row r="73" spans="7:7" ht="17" x14ac:dyDescent="0.25">
      <c r="G73" s="221" t="s">
        <v>783</v>
      </c>
    </row>
    <row r="74" spans="7:7" ht="17" x14ac:dyDescent="0.25">
      <c r="G74" s="221" t="s">
        <v>794</v>
      </c>
    </row>
    <row r="75" spans="7:7" x14ac:dyDescent="0.2">
      <c r="G75" s="218"/>
    </row>
    <row r="76" spans="7:7" x14ac:dyDescent="0.2">
      <c r="G76" s="218"/>
    </row>
    <row r="77" spans="7:7" x14ac:dyDescent="0.2">
      <c r="G77" s="218"/>
    </row>
    <row r="78" spans="7:7" x14ac:dyDescent="0.2">
      <c r="G78" s="218"/>
    </row>
    <row r="79" spans="7:7" x14ac:dyDescent="0.2">
      <c r="G79" s="218"/>
    </row>
    <row r="80" spans="7:7" x14ac:dyDescent="0.2">
      <c r="G80" s="218"/>
    </row>
    <row r="81" spans="7:7" x14ac:dyDescent="0.2">
      <c r="G81" s="218"/>
    </row>
    <row r="82" spans="7:7" x14ac:dyDescent="0.2">
      <c r="G82" s="218"/>
    </row>
    <row r="83" spans="7:7" x14ac:dyDescent="0.2">
      <c r="G83" s="218"/>
    </row>
    <row r="84" spans="7:7" x14ac:dyDescent="0.2">
      <c r="G84" s="218"/>
    </row>
    <row r="85" spans="7:7" x14ac:dyDescent="0.2">
      <c r="G85" s="218"/>
    </row>
    <row r="86" spans="7:7" x14ac:dyDescent="0.2">
      <c r="G86" s="218"/>
    </row>
    <row r="87" spans="7:7" x14ac:dyDescent="0.2">
      <c r="G87" s="218"/>
    </row>
    <row r="88" spans="7:7" x14ac:dyDescent="0.2">
      <c r="G88" s="218"/>
    </row>
    <row r="89" spans="7:7" x14ac:dyDescent="0.2">
      <c r="G89" s="218"/>
    </row>
    <row r="90" spans="7:7" x14ac:dyDescent="0.2">
      <c r="G90" s="218"/>
    </row>
    <row r="91" spans="7:7" x14ac:dyDescent="0.2">
      <c r="G91" s="218"/>
    </row>
    <row r="92" spans="7:7" x14ac:dyDescent="0.2">
      <c r="G92" s="218"/>
    </row>
    <row r="93" spans="7:7" x14ac:dyDescent="0.2">
      <c r="G93" s="218"/>
    </row>
    <row r="94" spans="7:7" x14ac:dyDescent="0.2">
      <c r="G94" s="218"/>
    </row>
    <row r="95" spans="7:7" x14ac:dyDescent="0.2">
      <c r="G95" s="218"/>
    </row>
    <row r="96" spans="7:7" x14ac:dyDescent="0.2">
      <c r="G96" s="218"/>
    </row>
    <row r="97" spans="7:7" x14ac:dyDescent="0.2">
      <c r="G97" s="218"/>
    </row>
    <row r="98" spans="7:7" x14ac:dyDescent="0.2">
      <c r="G98" s="218"/>
    </row>
    <row r="99" spans="7:7" x14ac:dyDescent="0.2">
      <c r="G99" s="218"/>
    </row>
    <row r="100" spans="7:7" x14ac:dyDescent="0.2">
      <c r="G100" s="218"/>
    </row>
    <row r="101" spans="7:7" x14ac:dyDescent="0.2">
      <c r="G101" s="218"/>
    </row>
    <row r="102" spans="7:7" x14ac:dyDescent="0.2">
      <c r="G102" s="218"/>
    </row>
    <row r="103" spans="7:7" x14ac:dyDescent="0.2">
      <c r="G103" s="218"/>
    </row>
    <row r="104" spans="7:7" x14ac:dyDescent="0.2">
      <c r="G104" s="218"/>
    </row>
    <row r="105" spans="7:7" x14ac:dyDescent="0.2">
      <c r="G105" s="218"/>
    </row>
    <row r="106" spans="7:7" x14ac:dyDescent="0.2">
      <c r="G106" s="218"/>
    </row>
    <row r="107" spans="7:7" x14ac:dyDescent="0.2">
      <c r="G107" s="218"/>
    </row>
    <row r="108" spans="7:7" x14ac:dyDescent="0.2">
      <c r="G108" s="218"/>
    </row>
    <row r="109" spans="7:7" x14ac:dyDescent="0.2">
      <c r="G109" s="218"/>
    </row>
    <row r="110" spans="7:7" x14ac:dyDescent="0.2">
      <c r="G110" s="218"/>
    </row>
    <row r="111" spans="7:7" x14ac:dyDescent="0.2">
      <c r="G111" s="218"/>
    </row>
    <row r="112" spans="7:7" x14ac:dyDescent="0.2">
      <c r="G112" s="218"/>
    </row>
    <row r="113" spans="7:7" x14ac:dyDescent="0.2">
      <c r="G113" s="218"/>
    </row>
    <row r="114" spans="7:7" x14ac:dyDescent="0.2">
      <c r="G114" s="218"/>
    </row>
    <row r="115" spans="7:7" x14ac:dyDescent="0.2">
      <c r="G115" s="218"/>
    </row>
    <row r="116" spans="7:7" x14ac:dyDescent="0.2">
      <c r="G116" s="218"/>
    </row>
    <row r="117" spans="7:7" x14ac:dyDescent="0.2">
      <c r="G117" s="218"/>
    </row>
    <row r="118" spans="7:7" x14ac:dyDescent="0.2">
      <c r="G118" s="218"/>
    </row>
    <row r="119" spans="7:7" x14ac:dyDescent="0.2">
      <c r="G119" s="218"/>
    </row>
    <row r="120" spans="7:7" x14ac:dyDescent="0.2">
      <c r="G120" s="218"/>
    </row>
    <row r="121" spans="7:7" x14ac:dyDescent="0.2">
      <c r="G121" s="218"/>
    </row>
    <row r="122" spans="7:7" x14ac:dyDescent="0.2">
      <c r="G122" s="218"/>
    </row>
    <row r="123" spans="7:7" x14ac:dyDescent="0.2">
      <c r="G123" s="218"/>
    </row>
    <row r="124" spans="7:7" x14ac:dyDescent="0.2">
      <c r="G124" s="218"/>
    </row>
    <row r="125" spans="7:7" x14ac:dyDescent="0.2">
      <c r="G125" s="218"/>
    </row>
    <row r="126" spans="7:7" x14ac:dyDescent="0.2">
      <c r="G126" s="218"/>
    </row>
    <row r="127" spans="7:7" x14ac:dyDescent="0.2">
      <c r="G127" s="218"/>
    </row>
    <row r="128" spans="7:7" x14ac:dyDescent="0.2">
      <c r="G128" s="218"/>
    </row>
    <row r="129" spans="7:7" x14ac:dyDescent="0.2">
      <c r="G129" s="218"/>
    </row>
    <row r="130" spans="7:7" x14ac:dyDescent="0.2">
      <c r="G130" s="218"/>
    </row>
    <row r="131" spans="7:7" x14ac:dyDescent="0.2">
      <c r="G131" s="218"/>
    </row>
    <row r="132" spans="7:7" x14ac:dyDescent="0.2">
      <c r="G132" s="218"/>
    </row>
    <row r="133" spans="7:7" x14ac:dyDescent="0.2">
      <c r="G133" s="218"/>
    </row>
    <row r="134" spans="7:7" x14ac:dyDescent="0.2">
      <c r="G134" s="218"/>
    </row>
    <row r="135" spans="7:7" x14ac:dyDescent="0.2">
      <c r="G135" s="218"/>
    </row>
    <row r="136" spans="7:7" x14ac:dyDescent="0.2">
      <c r="G136" s="218"/>
    </row>
    <row r="137" spans="7:7" x14ac:dyDescent="0.2">
      <c r="G137" s="218"/>
    </row>
    <row r="138" spans="7:7" x14ac:dyDescent="0.2">
      <c r="G138" s="218"/>
    </row>
    <row r="139" spans="7:7" x14ac:dyDescent="0.2">
      <c r="G139" s="218"/>
    </row>
    <row r="140" spans="7:7" x14ac:dyDescent="0.2">
      <c r="G140" s="218"/>
    </row>
    <row r="141" spans="7:7" x14ac:dyDescent="0.2">
      <c r="G141" s="218"/>
    </row>
    <row r="142" spans="7:7" x14ac:dyDescent="0.2">
      <c r="G142" s="218"/>
    </row>
    <row r="143" spans="7:7" x14ac:dyDescent="0.2">
      <c r="G143" s="218"/>
    </row>
    <row r="144" spans="7:7" x14ac:dyDescent="0.2">
      <c r="G144" s="218"/>
    </row>
    <row r="145" spans="7:7" x14ac:dyDescent="0.2">
      <c r="G145" s="218"/>
    </row>
    <row r="146" spans="7:7" x14ac:dyDescent="0.2">
      <c r="G146" s="218"/>
    </row>
    <row r="147" spans="7:7" x14ac:dyDescent="0.2">
      <c r="G147" s="218"/>
    </row>
    <row r="148" spans="7:7" x14ac:dyDescent="0.2">
      <c r="G148" s="218"/>
    </row>
    <row r="149" spans="7:7" x14ac:dyDescent="0.2">
      <c r="G149" s="218"/>
    </row>
    <row r="150" spans="7:7" x14ac:dyDescent="0.2">
      <c r="G150" s="218"/>
    </row>
    <row r="151" spans="7:7" x14ac:dyDescent="0.2">
      <c r="G151" s="218"/>
    </row>
    <row r="152" spans="7:7" x14ac:dyDescent="0.2">
      <c r="G152" s="218"/>
    </row>
    <row r="153" spans="7:7" x14ac:dyDescent="0.2">
      <c r="G153" s="218"/>
    </row>
    <row r="154" spans="7:7" x14ac:dyDescent="0.2">
      <c r="G154" s="218"/>
    </row>
    <row r="155" spans="7:7" x14ac:dyDescent="0.2">
      <c r="G155" s="218"/>
    </row>
    <row r="156" spans="7:7" x14ac:dyDescent="0.2">
      <c r="G156" s="218"/>
    </row>
    <row r="157" spans="7:7" x14ac:dyDescent="0.2">
      <c r="G157" s="218"/>
    </row>
    <row r="158" spans="7:7" x14ac:dyDescent="0.2">
      <c r="G158" s="218"/>
    </row>
    <row r="159" spans="7:7" x14ac:dyDescent="0.2">
      <c r="G159" s="218"/>
    </row>
    <row r="160" spans="7:7" x14ac:dyDescent="0.2">
      <c r="G160" s="218"/>
    </row>
    <row r="161" spans="7:7" x14ac:dyDescent="0.2">
      <c r="G161" s="218"/>
    </row>
    <row r="162" spans="7:7" x14ac:dyDescent="0.2">
      <c r="G162" s="218"/>
    </row>
    <row r="163" spans="7:7" x14ac:dyDescent="0.2">
      <c r="G163" s="218"/>
    </row>
    <row r="164" spans="7:7" x14ac:dyDescent="0.2">
      <c r="G164" s="218"/>
    </row>
    <row r="165" spans="7:7" x14ac:dyDescent="0.2">
      <c r="G165" s="218"/>
    </row>
    <row r="166" spans="7:7" x14ac:dyDescent="0.2">
      <c r="G166" s="218"/>
    </row>
    <row r="167" spans="7:7" x14ac:dyDescent="0.2">
      <c r="G167" s="218"/>
    </row>
    <row r="168" spans="7:7" x14ac:dyDescent="0.2">
      <c r="G168" s="218"/>
    </row>
    <row r="169" spans="7:7" x14ac:dyDescent="0.2">
      <c r="G169" s="218"/>
    </row>
    <row r="170" spans="7:7" x14ac:dyDescent="0.2">
      <c r="G170" s="218"/>
    </row>
    <row r="171" spans="7:7" x14ac:dyDescent="0.2">
      <c r="G171" s="218"/>
    </row>
    <row r="172" spans="7:7" x14ac:dyDescent="0.2">
      <c r="G172" s="218"/>
    </row>
    <row r="173" spans="7:7" x14ac:dyDescent="0.2">
      <c r="G173" s="218"/>
    </row>
    <row r="174" spans="7:7" x14ac:dyDescent="0.2">
      <c r="G174" s="218"/>
    </row>
    <row r="175" spans="7:7" x14ac:dyDescent="0.2">
      <c r="G175" s="218"/>
    </row>
    <row r="176" spans="7:7" x14ac:dyDescent="0.2">
      <c r="G176" s="218"/>
    </row>
    <row r="177" spans="7:7" x14ac:dyDescent="0.2">
      <c r="G177" s="218"/>
    </row>
    <row r="178" spans="7:7" x14ac:dyDescent="0.2">
      <c r="G178" s="218"/>
    </row>
    <row r="179" spans="7:7" x14ac:dyDescent="0.2">
      <c r="G179" s="218"/>
    </row>
    <row r="180" spans="7:7" x14ac:dyDescent="0.2">
      <c r="G180" s="218"/>
    </row>
    <row r="181" spans="7:7" x14ac:dyDescent="0.2">
      <c r="G181" s="218"/>
    </row>
    <row r="182" spans="7:7" x14ac:dyDescent="0.2">
      <c r="G182" s="218"/>
    </row>
    <row r="183" spans="7:7" x14ac:dyDescent="0.2">
      <c r="G183" s="218"/>
    </row>
    <row r="184" spans="7:7" x14ac:dyDescent="0.2">
      <c r="G184" s="218"/>
    </row>
    <row r="185" spans="7:7" x14ac:dyDescent="0.2">
      <c r="G185" s="218"/>
    </row>
    <row r="186" spans="7:7" x14ac:dyDescent="0.2">
      <c r="G186" s="218"/>
    </row>
    <row r="187" spans="7:7" x14ac:dyDescent="0.2">
      <c r="G187" s="218"/>
    </row>
    <row r="188" spans="7:7" x14ac:dyDescent="0.2">
      <c r="G188" s="218"/>
    </row>
    <row r="189" spans="7:7" x14ac:dyDescent="0.2">
      <c r="G189" s="218"/>
    </row>
    <row r="190" spans="7:7" x14ac:dyDescent="0.2">
      <c r="G190" s="218"/>
    </row>
    <row r="191" spans="7:7" x14ac:dyDescent="0.2">
      <c r="G191" s="218"/>
    </row>
    <row r="192" spans="7:7" x14ac:dyDescent="0.2">
      <c r="G192" s="218"/>
    </row>
    <row r="193" spans="7:7" x14ac:dyDescent="0.2">
      <c r="G193" s="218"/>
    </row>
    <row r="194" spans="7:7" x14ac:dyDescent="0.2">
      <c r="G194" s="218"/>
    </row>
    <row r="195" spans="7:7" x14ac:dyDescent="0.2">
      <c r="G195" s="218"/>
    </row>
    <row r="196" spans="7:7" x14ac:dyDescent="0.2">
      <c r="G196" s="218"/>
    </row>
    <row r="197" spans="7:7" x14ac:dyDescent="0.2">
      <c r="G197" s="218"/>
    </row>
    <row r="198" spans="7:7" x14ac:dyDescent="0.2">
      <c r="G198" s="218"/>
    </row>
    <row r="199" spans="7:7" x14ac:dyDescent="0.2">
      <c r="G199" s="218"/>
    </row>
    <row r="200" spans="7:7" x14ac:dyDescent="0.2">
      <c r="G200" s="218"/>
    </row>
    <row r="201" spans="7:7" x14ac:dyDescent="0.2">
      <c r="G201" s="218"/>
    </row>
    <row r="202" spans="7:7" x14ac:dyDescent="0.2">
      <c r="G202" s="218"/>
    </row>
    <row r="203" spans="7:7" x14ac:dyDescent="0.2">
      <c r="G203" s="218"/>
    </row>
    <row r="204" spans="7:7" x14ac:dyDescent="0.2">
      <c r="G204" s="218"/>
    </row>
    <row r="205" spans="7:7" x14ac:dyDescent="0.2">
      <c r="G205" s="218"/>
    </row>
    <row r="206" spans="7:7" x14ac:dyDescent="0.2">
      <c r="G206" s="218"/>
    </row>
    <row r="207" spans="7:7" x14ac:dyDescent="0.2">
      <c r="G207" s="218"/>
    </row>
    <row r="208" spans="7:7" x14ac:dyDescent="0.2">
      <c r="G208" s="218"/>
    </row>
    <row r="209" spans="7:7" x14ac:dyDescent="0.2">
      <c r="G209" s="218"/>
    </row>
    <row r="210" spans="7:7" x14ac:dyDescent="0.2">
      <c r="G210" s="218"/>
    </row>
    <row r="211" spans="7:7" x14ac:dyDescent="0.2">
      <c r="G211" s="218"/>
    </row>
    <row r="212" spans="7:7" x14ac:dyDescent="0.2">
      <c r="G212" s="218"/>
    </row>
    <row r="213" spans="7:7" x14ac:dyDescent="0.2">
      <c r="G213" s="218"/>
    </row>
    <row r="214" spans="7:7" x14ac:dyDescent="0.2">
      <c r="G214" s="218"/>
    </row>
    <row r="215" spans="7:7" x14ac:dyDescent="0.2">
      <c r="G215" s="218"/>
    </row>
    <row r="216" spans="7:7" x14ac:dyDescent="0.2">
      <c r="G216" s="218"/>
    </row>
    <row r="217" spans="7:7" x14ac:dyDescent="0.2">
      <c r="G217" s="218"/>
    </row>
    <row r="218" spans="7:7" x14ac:dyDescent="0.2">
      <c r="G218" s="218"/>
    </row>
    <row r="219" spans="7:7" x14ac:dyDescent="0.2">
      <c r="G219" s="218"/>
    </row>
    <row r="220" spans="7:7" x14ac:dyDescent="0.2">
      <c r="G220" s="218"/>
    </row>
    <row r="221" spans="7:7" x14ac:dyDescent="0.2">
      <c r="G221" s="218"/>
    </row>
    <row r="222" spans="7:7" x14ac:dyDescent="0.2">
      <c r="G222" s="218"/>
    </row>
    <row r="223" spans="7:7" x14ac:dyDescent="0.2">
      <c r="G223" s="218"/>
    </row>
    <row r="224" spans="7:7" x14ac:dyDescent="0.2">
      <c r="G224" s="218"/>
    </row>
    <row r="225" spans="7:7" x14ac:dyDescent="0.2">
      <c r="G225" s="218"/>
    </row>
    <row r="226" spans="7:7" x14ac:dyDescent="0.2">
      <c r="G226" s="218"/>
    </row>
    <row r="227" spans="7:7" x14ac:dyDescent="0.2">
      <c r="G227" s="218"/>
    </row>
    <row r="228" spans="7:7" x14ac:dyDescent="0.2">
      <c r="G228" s="218"/>
    </row>
    <row r="229" spans="7:7" x14ac:dyDescent="0.2">
      <c r="G229" s="218"/>
    </row>
    <row r="230" spans="7:7" x14ac:dyDescent="0.2">
      <c r="G230" s="218"/>
    </row>
    <row r="231" spans="7:7" x14ac:dyDescent="0.2">
      <c r="G231" s="218"/>
    </row>
    <row r="232" spans="7:7" x14ac:dyDescent="0.2">
      <c r="G232" s="218"/>
    </row>
    <row r="233" spans="7:7" x14ac:dyDescent="0.2">
      <c r="G233" s="218"/>
    </row>
    <row r="234" spans="7:7" x14ac:dyDescent="0.2">
      <c r="G234" s="218"/>
    </row>
    <row r="235" spans="7:7" x14ac:dyDescent="0.2">
      <c r="G235" s="218"/>
    </row>
    <row r="236" spans="7:7" x14ac:dyDescent="0.2">
      <c r="G236" s="218"/>
    </row>
    <row r="237" spans="7:7" x14ac:dyDescent="0.2">
      <c r="G237" s="218"/>
    </row>
    <row r="238" spans="7:7" x14ac:dyDescent="0.2">
      <c r="G238" s="218"/>
    </row>
    <row r="239" spans="7:7" x14ac:dyDescent="0.2">
      <c r="G239" s="218"/>
    </row>
    <row r="240" spans="7:7" x14ac:dyDescent="0.2">
      <c r="G240" s="218"/>
    </row>
    <row r="241" spans="7:7" x14ac:dyDescent="0.2">
      <c r="G241" s="218"/>
    </row>
    <row r="242" spans="7:7" x14ac:dyDescent="0.2">
      <c r="G242" s="218"/>
    </row>
    <row r="243" spans="7:7" x14ac:dyDescent="0.2">
      <c r="G243" s="218"/>
    </row>
  </sheetData>
  <mergeCells count="10">
    <mergeCell ref="G51:G52"/>
    <mergeCell ref="G53:G54"/>
    <mergeCell ref="G55:G56"/>
    <mergeCell ref="G57:G58"/>
    <mergeCell ref="H4:I4"/>
    <mergeCell ref="G5:G6"/>
    <mergeCell ref="G7:G8"/>
    <mergeCell ref="G9:G10"/>
    <mergeCell ref="H48:I48"/>
    <mergeCell ref="G49:G5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9786A-464A-1C43-8F84-5024A3103C53}">
  <dimension ref="B1:M263"/>
  <sheetViews>
    <sheetView zoomScale="110" zoomScaleNormal="110" workbookViewId="0">
      <selection activeCell="B17" sqref="B17"/>
    </sheetView>
  </sheetViews>
  <sheetFormatPr baseColWidth="10" defaultRowHeight="16" x14ac:dyDescent="0.2"/>
  <cols>
    <col min="3" max="3" width="38" bestFit="1" customWidth="1"/>
    <col min="4" max="5" width="55.33203125" customWidth="1"/>
    <col min="6" max="6" width="55.33203125" style="219" customWidth="1"/>
    <col min="7" max="7" width="12.33203125" bestFit="1" customWidth="1"/>
    <col min="8" max="8" width="35" bestFit="1" customWidth="1"/>
  </cols>
  <sheetData>
    <row r="1" spans="2:8" x14ac:dyDescent="0.2">
      <c r="B1" s="1"/>
      <c r="C1" s="1" t="s">
        <v>560</v>
      </c>
      <c r="D1" s="1" t="s">
        <v>552</v>
      </c>
      <c r="E1" s="1"/>
      <c r="F1" s="218" t="s">
        <v>762</v>
      </c>
      <c r="G1" s="1" t="s">
        <v>564</v>
      </c>
      <c r="H1" s="1"/>
    </row>
    <row r="2" spans="2:8" x14ac:dyDescent="0.2">
      <c r="B2" s="1" t="s">
        <v>556</v>
      </c>
      <c r="C2" s="1" t="s">
        <v>561</v>
      </c>
      <c r="D2" s="1" t="s">
        <v>562</v>
      </c>
      <c r="E2" s="1"/>
      <c r="F2" s="218" t="s">
        <v>763</v>
      </c>
      <c r="G2" s="1" t="s">
        <v>565</v>
      </c>
      <c r="H2" s="1"/>
    </row>
    <row r="3" spans="2:8" x14ac:dyDescent="0.2">
      <c r="B3" s="1"/>
      <c r="C3" s="1"/>
      <c r="D3" s="1"/>
      <c r="E3" s="1"/>
      <c r="F3" s="219" t="s">
        <v>764</v>
      </c>
      <c r="G3" s="1"/>
      <c r="H3" s="1"/>
    </row>
    <row r="4" spans="2:8" x14ac:dyDescent="0.2">
      <c r="B4" s="1"/>
      <c r="C4" s="1" t="s">
        <v>561</v>
      </c>
      <c r="D4" s="1" t="s">
        <v>563</v>
      </c>
      <c r="E4" s="1"/>
      <c r="F4" s="218"/>
      <c r="G4" s="1" t="s">
        <v>339</v>
      </c>
      <c r="H4" s="1" t="s">
        <v>573</v>
      </c>
    </row>
    <row r="5" spans="2:8" x14ac:dyDescent="0.2">
      <c r="B5" s="1" t="s">
        <v>557</v>
      </c>
      <c r="C5" s="1" t="s">
        <v>566</v>
      </c>
      <c r="D5" s="1" t="s">
        <v>568</v>
      </c>
      <c r="E5" s="1"/>
      <c r="F5" s="218"/>
      <c r="G5" s="1"/>
      <c r="H5" s="1"/>
    </row>
    <row r="6" spans="2:8" x14ac:dyDescent="0.2">
      <c r="B6" s="1"/>
      <c r="C6" s="1" t="s">
        <v>567</v>
      </c>
      <c r="D6" s="1" t="s">
        <v>568</v>
      </c>
      <c r="E6" s="1"/>
      <c r="F6" s="218"/>
      <c r="G6" s="1"/>
      <c r="H6" s="1"/>
    </row>
    <row r="7" spans="2:8" x14ac:dyDescent="0.2">
      <c r="B7" s="1" t="s">
        <v>558</v>
      </c>
      <c r="C7" s="1" t="s">
        <v>569</v>
      </c>
      <c r="D7" s="1" t="s">
        <v>727</v>
      </c>
      <c r="E7" s="1"/>
      <c r="F7" s="218"/>
      <c r="G7" s="1"/>
      <c r="H7" s="1"/>
    </row>
    <row r="8" spans="2:8" x14ac:dyDescent="0.2">
      <c r="B8" s="1" t="s">
        <v>559</v>
      </c>
      <c r="C8" s="1" t="s">
        <v>553</v>
      </c>
      <c r="D8" s="1" t="s">
        <v>728</v>
      </c>
      <c r="E8" s="1"/>
      <c r="F8" s="218"/>
      <c r="G8" s="1" t="s">
        <v>339</v>
      </c>
      <c r="H8" s="1"/>
    </row>
    <row r="9" spans="2:8" x14ac:dyDescent="0.2">
      <c r="B9" s="1"/>
      <c r="C9" s="1"/>
      <c r="D9" s="1" t="s">
        <v>729</v>
      </c>
      <c r="E9" s="1"/>
      <c r="F9" s="218"/>
      <c r="G9" s="1" t="s">
        <v>339</v>
      </c>
      <c r="H9" s="1"/>
    </row>
    <row r="10" spans="2:8" x14ac:dyDescent="0.2">
      <c r="B10" s="1"/>
      <c r="C10" s="1"/>
      <c r="D10" s="1" t="s">
        <v>570</v>
      </c>
      <c r="E10" s="1"/>
      <c r="F10" s="218"/>
      <c r="G10" s="1" t="s">
        <v>339</v>
      </c>
      <c r="H10" s="1"/>
    </row>
    <row r="11" spans="2:8" x14ac:dyDescent="0.2">
      <c r="B11" s="1"/>
      <c r="C11" s="1"/>
      <c r="D11" s="1" t="s">
        <v>572</v>
      </c>
      <c r="E11" s="1"/>
      <c r="F11" s="218"/>
      <c r="G11" s="1" t="s">
        <v>339</v>
      </c>
      <c r="H11" s="1"/>
    </row>
    <row r="12" spans="2:8" x14ac:dyDescent="0.2">
      <c r="B12" s="1"/>
      <c r="C12" s="1"/>
      <c r="D12" s="1" t="s">
        <v>571</v>
      </c>
      <c r="E12" s="1"/>
      <c r="F12" s="218"/>
      <c r="G12" s="1" t="s">
        <v>565</v>
      </c>
      <c r="H12" s="1"/>
    </row>
    <row r="13" spans="2:8" x14ac:dyDescent="0.2">
      <c r="B13" s="1"/>
      <c r="C13" s="1"/>
      <c r="D13" s="1" t="s">
        <v>603</v>
      </c>
      <c r="E13" s="1"/>
      <c r="F13" s="218"/>
      <c r="G13" s="1" t="s">
        <v>565</v>
      </c>
      <c r="H13" s="1"/>
    </row>
    <row r="16" spans="2:8" x14ac:dyDescent="0.2">
      <c r="B16" t="s">
        <v>770</v>
      </c>
    </row>
    <row r="17" spans="2:9" x14ac:dyDescent="0.2">
      <c r="B17" s="220" t="s">
        <v>767</v>
      </c>
    </row>
    <row r="21" spans="2:9" x14ac:dyDescent="0.2">
      <c r="F21" s="219" t="s">
        <v>766</v>
      </c>
    </row>
    <row r="22" spans="2:9" x14ac:dyDescent="0.2">
      <c r="B22" s="1" t="s">
        <v>556</v>
      </c>
      <c r="C22" s="1" t="s">
        <v>839</v>
      </c>
      <c r="D22" s="1" t="s">
        <v>562</v>
      </c>
      <c r="E22" s="1"/>
      <c r="F22" s="41"/>
      <c r="G22" s="42" t="s">
        <v>340</v>
      </c>
      <c r="H22" s="42" t="s">
        <v>341</v>
      </c>
      <c r="I22" s="39"/>
    </row>
    <row r="23" spans="2:9" x14ac:dyDescent="0.2">
      <c r="C23" t="s">
        <v>561</v>
      </c>
      <c r="F23" s="39"/>
      <c r="G23" s="112" t="s">
        <v>534</v>
      </c>
      <c r="H23" s="112" t="s">
        <v>535</v>
      </c>
      <c r="I23" s="39"/>
    </row>
    <row r="24" spans="2:9" x14ac:dyDescent="0.2">
      <c r="F24" s="43" t="s">
        <v>388</v>
      </c>
      <c r="G24" s="155" t="s">
        <v>399</v>
      </c>
      <c r="H24" s="155"/>
      <c r="I24" s="38"/>
    </row>
    <row r="25" spans="2:9" x14ac:dyDescent="0.2">
      <c r="B25" s="1"/>
      <c r="C25" s="1"/>
      <c r="F25" s="156" t="s">
        <v>334</v>
      </c>
      <c r="G25" s="44" t="s">
        <v>526</v>
      </c>
      <c r="H25" s="44" t="s">
        <v>528</v>
      </c>
      <c r="I25" s="38" t="s">
        <v>540</v>
      </c>
    </row>
    <row r="26" spans="2:9" x14ac:dyDescent="0.2">
      <c r="B26" s="1"/>
      <c r="C26" s="1"/>
      <c r="F26" s="156"/>
      <c r="G26" s="44" t="s">
        <v>94</v>
      </c>
      <c r="H26" s="44" t="s">
        <v>529</v>
      </c>
      <c r="I26" s="38" t="s">
        <v>541</v>
      </c>
    </row>
    <row r="27" spans="2:9" x14ac:dyDescent="0.2">
      <c r="B27" s="1"/>
      <c r="C27" s="1"/>
      <c r="F27" s="156" t="s">
        <v>401</v>
      </c>
      <c r="G27" s="44" t="s">
        <v>527</v>
      </c>
      <c r="H27" s="44" t="s">
        <v>55</v>
      </c>
      <c r="I27" s="38" t="s">
        <v>542</v>
      </c>
    </row>
    <row r="28" spans="2:9" x14ac:dyDescent="0.2">
      <c r="B28" s="1"/>
      <c r="C28" s="1"/>
      <c r="F28" s="156"/>
      <c r="G28" s="44" t="s">
        <v>57</v>
      </c>
      <c r="H28" s="44" t="s">
        <v>530</v>
      </c>
      <c r="I28" s="38" t="s">
        <v>543</v>
      </c>
    </row>
    <row r="29" spans="2:9" x14ac:dyDescent="0.2">
      <c r="B29" s="1"/>
      <c r="C29" s="1"/>
      <c r="F29" s="156" t="s">
        <v>402</v>
      </c>
      <c r="G29" s="44" t="s">
        <v>278</v>
      </c>
      <c r="H29" s="44" t="s">
        <v>531</v>
      </c>
      <c r="I29" s="38"/>
    </row>
    <row r="30" spans="2:9" x14ac:dyDescent="0.2">
      <c r="B30" s="1"/>
      <c r="C30" s="1"/>
      <c r="F30" s="157"/>
      <c r="G30" s="45" t="s">
        <v>532</v>
      </c>
      <c r="H30" s="45" t="s">
        <v>533</v>
      </c>
      <c r="I30" s="38"/>
    </row>
    <row r="31" spans="2:9" x14ac:dyDescent="0.2">
      <c r="B31" s="1"/>
      <c r="C31" s="1"/>
      <c r="F31" s="46" t="s">
        <v>335</v>
      </c>
      <c r="G31" s="44" t="s">
        <v>336</v>
      </c>
      <c r="H31" s="44" t="s">
        <v>336</v>
      </c>
      <c r="I31" s="38"/>
    </row>
    <row r="32" spans="2:9" x14ac:dyDescent="0.2">
      <c r="B32" s="1"/>
      <c r="C32" s="1"/>
      <c r="F32" s="46" t="s">
        <v>337</v>
      </c>
      <c r="G32" s="44" t="s">
        <v>336</v>
      </c>
      <c r="H32" s="44" t="s">
        <v>336</v>
      </c>
      <c r="I32" s="38"/>
    </row>
    <row r="33" spans="2:13" x14ac:dyDescent="0.2">
      <c r="B33" s="1"/>
      <c r="C33" s="1"/>
      <c r="F33" s="46" t="s">
        <v>338</v>
      </c>
      <c r="G33" s="44" t="s">
        <v>336</v>
      </c>
      <c r="H33" s="44" t="s">
        <v>336</v>
      </c>
      <c r="I33" s="38"/>
    </row>
    <row r="34" spans="2:13" x14ac:dyDescent="0.2">
      <c r="B34" s="1"/>
      <c r="C34" s="1"/>
      <c r="F34" s="47" t="s">
        <v>339</v>
      </c>
      <c r="G34" s="45" t="s">
        <v>536</v>
      </c>
      <c r="H34" s="45" t="s">
        <v>537</v>
      </c>
      <c r="I34" s="39"/>
    </row>
    <row r="35" spans="2:13" ht="17" x14ac:dyDescent="0.25">
      <c r="B35" s="1" t="s">
        <v>557</v>
      </c>
      <c r="C35" t="s">
        <v>837</v>
      </c>
      <c r="D35" t="s">
        <v>765</v>
      </c>
      <c r="F35" s="216" t="s">
        <v>795</v>
      </c>
      <c r="H35" s="216" t="s">
        <v>810</v>
      </c>
      <c r="I35" s="216"/>
      <c r="K35" s="1"/>
      <c r="L35" s="1"/>
      <c r="M35" s="1"/>
    </row>
    <row r="36" spans="2:13" ht="17" x14ac:dyDescent="0.25">
      <c r="B36" s="1"/>
      <c r="C36" s="1" t="s">
        <v>832</v>
      </c>
      <c r="F36" s="216" t="s">
        <v>796</v>
      </c>
      <c r="H36" s="216" t="s">
        <v>811</v>
      </c>
      <c r="I36" s="216"/>
      <c r="K36" s="1"/>
      <c r="L36" s="1"/>
      <c r="M36" s="1"/>
    </row>
    <row r="37" spans="2:13" ht="17" x14ac:dyDescent="0.25">
      <c r="B37" s="1"/>
      <c r="C37" s="1" t="s">
        <v>833</v>
      </c>
      <c r="F37" s="216" t="s">
        <v>797</v>
      </c>
      <c r="H37" s="216" t="s">
        <v>812</v>
      </c>
      <c r="I37" s="216"/>
      <c r="K37" s="1"/>
      <c r="L37" s="1"/>
      <c r="M37" s="1"/>
    </row>
    <row r="38" spans="2:13" ht="17" x14ac:dyDescent="0.25">
      <c r="B38" s="1"/>
      <c r="C38" t="s">
        <v>834</v>
      </c>
      <c r="F38" s="216" t="s">
        <v>798</v>
      </c>
      <c r="H38" s="216" t="s">
        <v>813</v>
      </c>
      <c r="I38" s="216"/>
      <c r="K38" s="1"/>
      <c r="L38" s="1"/>
      <c r="M38" s="1"/>
    </row>
    <row r="39" spans="2:13" ht="17" x14ac:dyDescent="0.25">
      <c r="B39" s="1"/>
      <c r="F39" s="216" t="s">
        <v>806</v>
      </c>
      <c r="H39" s="216" t="s">
        <v>814</v>
      </c>
      <c r="I39" s="216"/>
      <c r="K39" s="1"/>
      <c r="L39" s="1"/>
      <c r="M39" s="1"/>
    </row>
    <row r="40" spans="2:13" ht="17" x14ac:dyDescent="0.25">
      <c r="B40" s="1"/>
      <c r="E40" s="222" t="s">
        <v>829</v>
      </c>
      <c r="F40" s="216" t="s">
        <v>828</v>
      </c>
      <c r="H40" s="216" t="s">
        <v>815</v>
      </c>
      <c r="I40" s="216"/>
      <c r="K40" s="1"/>
      <c r="L40" s="1"/>
      <c r="M40" s="1"/>
    </row>
    <row r="41" spans="2:13" ht="17" x14ac:dyDescent="0.25">
      <c r="B41" s="1"/>
      <c r="E41" s="222" t="s">
        <v>830</v>
      </c>
      <c r="F41" s="216" t="s">
        <v>807</v>
      </c>
      <c r="H41" s="216" t="s">
        <v>816</v>
      </c>
      <c r="I41" s="216"/>
      <c r="K41" s="1"/>
      <c r="L41" s="1"/>
      <c r="M41" s="1"/>
    </row>
    <row r="42" spans="2:13" ht="17" x14ac:dyDescent="0.25">
      <c r="B42" s="1"/>
      <c r="E42" s="222" t="s">
        <v>831</v>
      </c>
      <c r="F42" s="216" t="s">
        <v>799</v>
      </c>
      <c r="H42" s="216" t="s">
        <v>817</v>
      </c>
      <c r="I42" s="216"/>
      <c r="K42" s="1"/>
      <c r="L42" s="1"/>
      <c r="M42" s="1"/>
    </row>
    <row r="43" spans="2:13" ht="17" x14ac:dyDescent="0.25">
      <c r="B43" s="1"/>
      <c r="E43" s="223"/>
      <c r="F43" s="216" t="s">
        <v>808</v>
      </c>
      <c r="H43" s="216" t="s">
        <v>818</v>
      </c>
      <c r="I43" s="216"/>
      <c r="K43" s="1"/>
      <c r="L43" s="1"/>
      <c r="M43" s="1"/>
    </row>
    <row r="44" spans="2:13" ht="17" x14ac:dyDescent="0.25">
      <c r="B44" s="1"/>
      <c r="E44" s="223" t="s">
        <v>835</v>
      </c>
      <c r="F44" s="216" t="s">
        <v>800</v>
      </c>
      <c r="H44" s="216" t="s">
        <v>819</v>
      </c>
      <c r="I44" s="216"/>
      <c r="K44" s="1"/>
      <c r="L44" s="1"/>
      <c r="M44" s="1"/>
    </row>
    <row r="45" spans="2:13" ht="17" x14ac:dyDescent="0.25">
      <c r="B45" s="1"/>
      <c r="C45" s="222"/>
      <c r="E45" s="223" t="s">
        <v>836</v>
      </c>
      <c r="F45" s="216" t="s">
        <v>809</v>
      </c>
      <c r="H45" s="216" t="s">
        <v>820</v>
      </c>
      <c r="I45" s="216"/>
      <c r="K45" s="1"/>
      <c r="L45" s="1"/>
      <c r="M45" s="1"/>
    </row>
    <row r="46" spans="2:13" ht="17" x14ac:dyDescent="0.25">
      <c r="B46" s="1"/>
      <c r="C46" s="222"/>
      <c r="E46" s="223" t="s">
        <v>838</v>
      </c>
      <c r="F46" s="216" t="s">
        <v>797</v>
      </c>
      <c r="H46" s="216" t="s">
        <v>821</v>
      </c>
      <c r="I46" s="216"/>
      <c r="K46" s="1"/>
      <c r="L46" s="1"/>
      <c r="M46" s="1"/>
    </row>
    <row r="47" spans="2:13" ht="17" x14ac:dyDescent="0.25">
      <c r="B47" s="1"/>
      <c r="C47" s="1"/>
      <c r="F47" s="216" t="s">
        <v>801</v>
      </c>
      <c r="H47" s="216" t="s">
        <v>822</v>
      </c>
      <c r="I47" s="216"/>
      <c r="K47" s="1"/>
      <c r="L47" s="1"/>
      <c r="M47" s="1"/>
    </row>
    <row r="48" spans="2:13" ht="17" x14ac:dyDescent="0.25">
      <c r="B48" s="1"/>
      <c r="C48" s="1"/>
      <c r="F48" s="216" t="s">
        <v>802</v>
      </c>
      <c r="H48" s="216" t="s">
        <v>823</v>
      </c>
      <c r="I48" s="216"/>
      <c r="K48" s="1"/>
      <c r="L48" s="1"/>
      <c r="M48" s="1"/>
    </row>
    <row r="49" spans="2:13" ht="17" x14ac:dyDescent="0.25">
      <c r="B49" s="1"/>
      <c r="C49" s="1"/>
      <c r="F49" s="216" t="s">
        <v>803</v>
      </c>
      <c r="H49" s="216" t="s">
        <v>824</v>
      </c>
      <c r="I49" s="216"/>
      <c r="K49" s="1"/>
      <c r="L49" s="1"/>
      <c r="M49" s="1"/>
    </row>
    <row r="50" spans="2:13" ht="17" x14ac:dyDescent="0.25">
      <c r="B50" s="1"/>
      <c r="C50" s="1"/>
      <c r="F50" s="216" t="s">
        <v>804</v>
      </c>
      <c r="H50" s="216" t="s">
        <v>825</v>
      </c>
      <c r="I50" s="216"/>
      <c r="K50" s="1"/>
      <c r="L50" s="1"/>
      <c r="M50" s="1"/>
    </row>
    <row r="51" spans="2:13" ht="17" x14ac:dyDescent="0.25">
      <c r="B51" s="1"/>
      <c r="C51" s="1"/>
      <c r="F51" s="216" t="s">
        <v>805</v>
      </c>
      <c r="H51" s="216" t="s">
        <v>826</v>
      </c>
      <c r="I51" s="216"/>
      <c r="K51" s="1"/>
      <c r="L51" s="1"/>
      <c r="M51" s="1"/>
    </row>
    <row r="52" spans="2:13" ht="17" x14ac:dyDescent="0.25">
      <c r="B52" s="1"/>
      <c r="C52" s="1"/>
      <c r="F52" s="216" t="s">
        <v>795</v>
      </c>
      <c r="H52" s="216" t="s">
        <v>812</v>
      </c>
      <c r="I52" s="216"/>
      <c r="K52" s="1"/>
      <c r="L52" s="1"/>
      <c r="M52" s="1"/>
    </row>
    <row r="53" spans="2:13" ht="17" x14ac:dyDescent="0.25">
      <c r="B53" s="1"/>
      <c r="C53" s="1"/>
      <c r="F53" s="216" t="s">
        <v>588</v>
      </c>
      <c r="H53" s="216" t="s">
        <v>827</v>
      </c>
      <c r="I53" s="216"/>
      <c r="K53" s="1"/>
      <c r="L53" s="1"/>
      <c r="M53" s="1"/>
    </row>
    <row r="54" spans="2:13" x14ac:dyDescent="0.2">
      <c r="B54" s="1" t="s">
        <v>558</v>
      </c>
      <c r="C54" s="1" t="s">
        <v>569</v>
      </c>
      <c r="D54" s="1" t="s">
        <v>727</v>
      </c>
      <c r="E54" s="1"/>
      <c r="H54" s="1"/>
      <c r="I54" s="1"/>
      <c r="J54" s="1"/>
      <c r="K54" s="1"/>
      <c r="L54" s="1"/>
      <c r="M54" s="1"/>
    </row>
    <row r="55" spans="2:13" ht="17" x14ac:dyDescent="0.25">
      <c r="B55" s="1" t="s">
        <v>559</v>
      </c>
      <c r="C55" s="1" t="s">
        <v>553</v>
      </c>
      <c r="D55" t="s">
        <v>771</v>
      </c>
      <c r="F55" s="221" t="s">
        <v>772</v>
      </c>
    </row>
    <row r="56" spans="2:13" ht="17" x14ac:dyDescent="0.25">
      <c r="B56" s="1"/>
      <c r="C56" s="1"/>
      <c r="F56" s="221" t="s">
        <v>773</v>
      </c>
    </row>
    <row r="57" spans="2:13" ht="17" x14ac:dyDescent="0.25">
      <c r="B57" s="1"/>
      <c r="C57" s="1"/>
      <c r="F57" s="221" t="s">
        <v>774</v>
      </c>
    </row>
    <row r="58" spans="2:13" ht="17" x14ac:dyDescent="0.25">
      <c r="B58" s="1"/>
      <c r="C58" s="1"/>
      <c r="F58" s="221" t="s">
        <v>775</v>
      </c>
    </row>
    <row r="59" spans="2:13" ht="17" x14ac:dyDescent="0.25">
      <c r="B59" s="1"/>
      <c r="C59" s="1"/>
      <c r="F59" s="221" t="s">
        <v>781</v>
      </c>
    </row>
    <row r="60" spans="2:13" ht="17" x14ac:dyDescent="0.25">
      <c r="B60" s="1"/>
      <c r="C60" s="1"/>
      <c r="F60" s="221" t="s">
        <v>774</v>
      </c>
    </row>
    <row r="61" spans="2:13" ht="17" x14ac:dyDescent="0.25">
      <c r="F61" s="221" t="s">
        <v>776</v>
      </c>
    </row>
    <row r="62" spans="2:13" ht="17" x14ac:dyDescent="0.25">
      <c r="F62" s="221" t="s">
        <v>777</v>
      </c>
    </row>
    <row r="63" spans="2:13" ht="17" x14ac:dyDescent="0.25">
      <c r="F63" s="221" t="s">
        <v>778</v>
      </c>
    </row>
    <row r="64" spans="2:13" ht="17" x14ac:dyDescent="0.25">
      <c r="F64" s="221" t="s">
        <v>779</v>
      </c>
    </row>
    <row r="65" spans="4:6" ht="17" x14ac:dyDescent="0.25">
      <c r="F65" s="221" t="s">
        <v>780</v>
      </c>
    </row>
    <row r="66" spans="4:6" ht="17" x14ac:dyDescent="0.25">
      <c r="F66" s="221" t="s">
        <v>772</v>
      </c>
    </row>
    <row r="67" spans="4:6" ht="17" x14ac:dyDescent="0.25">
      <c r="F67" s="221" t="s">
        <v>588</v>
      </c>
    </row>
    <row r="68" spans="4:6" ht="17" x14ac:dyDescent="0.25">
      <c r="D68" t="s">
        <v>768</v>
      </c>
      <c r="F68" s="221" t="s">
        <v>782</v>
      </c>
    </row>
    <row r="69" spans="4:6" ht="17" x14ac:dyDescent="0.25">
      <c r="F69" s="221" t="s">
        <v>784</v>
      </c>
    </row>
    <row r="70" spans="4:6" ht="17" x14ac:dyDescent="0.25">
      <c r="F70" s="221" t="s">
        <v>783</v>
      </c>
    </row>
    <row r="71" spans="4:6" ht="17" x14ac:dyDescent="0.25">
      <c r="F71" s="221" t="s">
        <v>785</v>
      </c>
    </row>
    <row r="72" spans="4:6" ht="17" x14ac:dyDescent="0.25">
      <c r="F72" s="221" t="s">
        <v>786</v>
      </c>
    </row>
    <row r="73" spans="4:6" ht="17" x14ac:dyDescent="0.25">
      <c r="F73" s="221" t="s">
        <v>787</v>
      </c>
    </row>
    <row r="74" spans="4:6" ht="17" x14ac:dyDescent="0.25">
      <c r="F74" s="221" t="s">
        <v>788</v>
      </c>
    </row>
    <row r="75" spans="4:6" ht="17" x14ac:dyDescent="0.25">
      <c r="F75" s="221" t="s">
        <v>789</v>
      </c>
    </row>
    <row r="76" spans="4:6" ht="17" x14ac:dyDescent="0.25">
      <c r="F76" s="221" t="s">
        <v>790</v>
      </c>
    </row>
    <row r="77" spans="4:6" ht="17" x14ac:dyDescent="0.25">
      <c r="F77" s="221" t="s">
        <v>791</v>
      </c>
    </row>
    <row r="78" spans="4:6" ht="17" x14ac:dyDescent="0.25">
      <c r="F78" s="221" t="s">
        <v>792</v>
      </c>
    </row>
    <row r="79" spans="4:6" ht="17" x14ac:dyDescent="0.25">
      <c r="F79" s="221" t="s">
        <v>793</v>
      </c>
    </row>
    <row r="80" spans="4:6" ht="17" x14ac:dyDescent="0.25">
      <c r="F80" s="221" t="s">
        <v>792</v>
      </c>
    </row>
    <row r="81" spans="4:8" ht="17" x14ac:dyDescent="0.25">
      <c r="F81" s="221" t="s">
        <v>783</v>
      </c>
    </row>
    <row r="82" spans="4:8" ht="17" x14ac:dyDescent="0.25">
      <c r="F82" s="221" t="s">
        <v>794</v>
      </c>
    </row>
    <row r="83" spans="4:8" ht="16" customHeight="1" x14ac:dyDescent="0.2">
      <c r="D83" t="s">
        <v>769</v>
      </c>
      <c r="F83" s="1"/>
      <c r="G83" s="214" t="s">
        <v>127</v>
      </c>
      <c r="H83" s="214"/>
    </row>
    <row r="84" spans="4:8" x14ac:dyDescent="0.2">
      <c r="F84" s="172" t="s">
        <v>5</v>
      </c>
      <c r="G84" s="215" t="s">
        <v>64</v>
      </c>
      <c r="H84" s="215" t="s">
        <v>53</v>
      </c>
    </row>
    <row r="85" spans="4:8" x14ac:dyDescent="0.2">
      <c r="F85" s="173"/>
      <c r="G85" s="215" t="s">
        <v>65</v>
      </c>
      <c r="H85" s="215" t="s">
        <v>239</v>
      </c>
    </row>
    <row r="86" spans="4:8" x14ac:dyDescent="0.2">
      <c r="F86" s="172" t="s">
        <v>186</v>
      </c>
      <c r="G86" s="215"/>
      <c r="H86" s="215" t="s">
        <v>97</v>
      </c>
    </row>
    <row r="87" spans="4:8" x14ac:dyDescent="0.2">
      <c r="F87" s="173"/>
      <c r="G87" s="215"/>
      <c r="H87" s="215" t="s">
        <v>241</v>
      </c>
    </row>
    <row r="88" spans="4:8" x14ac:dyDescent="0.2">
      <c r="F88" s="172" t="s">
        <v>229</v>
      </c>
      <c r="G88" s="215"/>
      <c r="H88" s="215" t="s">
        <v>273</v>
      </c>
    </row>
    <row r="89" spans="4:8" x14ac:dyDescent="0.2">
      <c r="F89" s="173"/>
      <c r="G89" s="215"/>
      <c r="H89" s="215" t="s">
        <v>217</v>
      </c>
    </row>
    <row r="90" spans="4:8" x14ac:dyDescent="0.2">
      <c r="F90" s="172" t="s">
        <v>134</v>
      </c>
      <c r="G90" s="215"/>
      <c r="H90" s="215" t="s">
        <v>140</v>
      </c>
    </row>
    <row r="91" spans="4:8" x14ac:dyDescent="0.2">
      <c r="F91" s="173"/>
      <c r="G91" s="215"/>
      <c r="H91" s="215" t="s">
        <v>213</v>
      </c>
    </row>
    <row r="92" spans="4:8" x14ac:dyDescent="0.2">
      <c r="F92" s="172" t="s">
        <v>149</v>
      </c>
      <c r="G92" s="215"/>
      <c r="H92" s="215" t="s">
        <v>285</v>
      </c>
    </row>
    <row r="93" spans="4:8" x14ac:dyDescent="0.2">
      <c r="F93" s="173"/>
      <c r="G93" s="215"/>
      <c r="H93" s="215" t="s">
        <v>60</v>
      </c>
    </row>
    <row r="94" spans="4:8" x14ac:dyDescent="0.2">
      <c r="F94" s="3" t="s">
        <v>14</v>
      </c>
      <c r="G94" s="215" t="s">
        <v>66</v>
      </c>
      <c r="H94" s="215" t="s">
        <v>152</v>
      </c>
    </row>
    <row r="95" spans="4:8" x14ac:dyDescent="0.2">
      <c r="F95" s="218"/>
    </row>
    <row r="96" spans="4:8" x14ac:dyDescent="0.2">
      <c r="F96" s="218"/>
    </row>
    <row r="97" spans="6:6" x14ac:dyDescent="0.2">
      <c r="F97" s="218"/>
    </row>
    <row r="98" spans="6:6" x14ac:dyDescent="0.2">
      <c r="F98" s="218"/>
    </row>
    <row r="99" spans="6:6" x14ac:dyDescent="0.2">
      <c r="F99" s="218"/>
    </row>
    <row r="100" spans="6:6" x14ac:dyDescent="0.2">
      <c r="F100" s="218"/>
    </row>
    <row r="101" spans="6:6" x14ac:dyDescent="0.2">
      <c r="F101" s="218"/>
    </row>
    <row r="102" spans="6:6" x14ac:dyDescent="0.2">
      <c r="F102" s="218"/>
    </row>
    <row r="103" spans="6:6" x14ac:dyDescent="0.2">
      <c r="F103" s="218"/>
    </row>
    <row r="104" spans="6:6" x14ac:dyDescent="0.2">
      <c r="F104" s="218"/>
    </row>
    <row r="105" spans="6:6" x14ac:dyDescent="0.2">
      <c r="F105" s="218"/>
    </row>
    <row r="106" spans="6:6" x14ac:dyDescent="0.2">
      <c r="F106" s="218"/>
    </row>
    <row r="107" spans="6:6" x14ac:dyDescent="0.2">
      <c r="F107" s="218"/>
    </row>
    <row r="108" spans="6:6" x14ac:dyDescent="0.2">
      <c r="F108" s="218"/>
    </row>
    <row r="109" spans="6:6" x14ac:dyDescent="0.2">
      <c r="F109" s="218"/>
    </row>
    <row r="110" spans="6:6" x14ac:dyDescent="0.2">
      <c r="F110" s="218"/>
    </row>
    <row r="111" spans="6:6" x14ac:dyDescent="0.2">
      <c r="F111" s="218"/>
    </row>
    <row r="112" spans="6:6" x14ac:dyDescent="0.2">
      <c r="F112" s="218"/>
    </row>
    <row r="113" spans="6:6" x14ac:dyDescent="0.2">
      <c r="F113" s="218"/>
    </row>
    <row r="114" spans="6:6" x14ac:dyDescent="0.2">
      <c r="F114" s="218"/>
    </row>
    <row r="115" spans="6:6" x14ac:dyDescent="0.2">
      <c r="F115" s="218"/>
    </row>
    <row r="116" spans="6:6" x14ac:dyDescent="0.2">
      <c r="F116" s="218"/>
    </row>
    <row r="117" spans="6:6" x14ac:dyDescent="0.2">
      <c r="F117" s="218"/>
    </row>
    <row r="118" spans="6:6" x14ac:dyDescent="0.2">
      <c r="F118" s="218"/>
    </row>
    <row r="119" spans="6:6" x14ac:dyDescent="0.2">
      <c r="F119" s="218"/>
    </row>
    <row r="120" spans="6:6" x14ac:dyDescent="0.2">
      <c r="F120" s="218"/>
    </row>
    <row r="121" spans="6:6" x14ac:dyDescent="0.2">
      <c r="F121" s="218"/>
    </row>
    <row r="122" spans="6:6" x14ac:dyDescent="0.2">
      <c r="F122" s="218"/>
    </row>
    <row r="123" spans="6:6" x14ac:dyDescent="0.2">
      <c r="F123" s="218"/>
    </row>
    <row r="124" spans="6:6" x14ac:dyDescent="0.2">
      <c r="F124" s="218"/>
    </row>
    <row r="125" spans="6:6" x14ac:dyDescent="0.2">
      <c r="F125" s="218"/>
    </row>
    <row r="126" spans="6:6" x14ac:dyDescent="0.2">
      <c r="F126" s="218"/>
    </row>
    <row r="127" spans="6:6" x14ac:dyDescent="0.2">
      <c r="F127" s="218"/>
    </row>
    <row r="128" spans="6:6" x14ac:dyDescent="0.2">
      <c r="F128" s="218"/>
    </row>
    <row r="129" spans="6:6" x14ac:dyDescent="0.2">
      <c r="F129" s="218"/>
    </row>
    <row r="130" spans="6:6" x14ac:dyDescent="0.2">
      <c r="F130" s="218"/>
    </row>
    <row r="131" spans="6:6" x14ac:dyDescent="0.2">
      <c r="F131" s="218"/>
    </row>
    <row r="132" spans="6:6" x14ac:dyDescent="0.2">
      <c r="F132" s="218"/>
    </row>
    <row r="133" spans="6:6" x14ac:dyDescent="0.2">
      <c r="F133" s="218"/>
    </row>
    <row r="134" spans="6:6" x14ac:dyDescent="0.2">
      <c r="F134" s="218"/>
    </row>
    <row r="135" spans="6:6" x14ac:dyDescent="0.2">
      <c r="F135" s="218"/>
    </row>
    <row r="136" spans="6:6" x14ac:dyDescent="0.2">
      <c r="F136" s="218"/>
    </row>
    <row r="137" spans="6:6" x14ac:dyDescent="0.2">
      <c r="F137" s="218"/>
    </row>
    <row r="138" spans="6:6" x14ac:dyDescent="0.2">
      <c r="F138" s="218"/>
    </row>
    <row r="139" spans="6:6" x14ac:dyDescent="0.2">
      <c r="F139" s="218"/>
    </row>
    <row r="140" spans="6:6" x14ac:dyDescent="0.2">
      <c r="F140" s="218"/>
    </row>
    <row r="141" spans="6:6" x14ac:dyDescent="0.2">
      <c r="F141" s="218"/>
    </row>
    <row r="142" spans="6:6" x14ac:dyDescent="0.2">
      <c r="F142" s="218"/>
    </row>
    <row r="143" spans="6:6" x14ac:dyDescent="0.2">
      <c r="F143" s="218"/>
    </row>
    <row r="144" spans="6:6" x14ac:dyDescent="0.2">
      <c r="F144" s="218"/>
    </row>
    <row r="145" spans="6:6" x14ac:dyDescent="0.2">
      <c r="F145" s="218"/>
    </row>
    <row r="146" spans="6:6" x14ac:dyDescent="0.2">
      <c r="F146" s="218"/>
    </row>
    <row r="147" spans="6:6" x14ac:dyDescent="0.2">
      <c r="F147" s="218"/>
    </row>
    <row r="148" spans="6:6" x14ac:dyDescent="0.2">
      <c r="F148" s="218"/>
    </row>
    <row r="149" spans="6:6" x14ac:dyDescent="0.2">
      <c r="F149" s="218"/>
    </row>
    <row r="150" spans="6:6" x14ac:dyDescent="0.2">
      <c r="F150" s="218"/>
    </row>
    <row r="151" spans="6:6" x14ac:dyDescent="0.2">
      <c r="F151" s="218"/>
    </row>
    <row r="152" spans="6:6" x14ac:dyDescent="0.2">
      <c r="F152" s="218"/>
    </row>
    <row r="153" spans="6:6" x14ac:dyDescent="0.2">
      <c r="F153" s="218"/>
    </row>
    <row r="154" spans="6:6" x14ac:dyDescent="0.2">
      <c r="F154" s="218"/>
    </row>
    <row r="155" spans="6:6" x14ac:dyDescent="0.2">
      <c r="F155" s="218"/>
    </row>
    <row r="156" spans="6:6" x14ac:dyDescent="0.2">
      <c r="F156" s="218"/>
    </row>
    <row r="157" spans="6:6" x14ac:dyDescent="0.2">
      <c r="F157" s="218"/>
    </row>
    <row r="158" spans="6:6" x14ac:dyDescent="0.2">
      <c r="F158" s="218"/>
    </row>
    <row r="159" spans="6:6" x14ac:dyDescent="0.2">
      <c r="F159" s="218"/>
    </row>
    <row r="160" spans="6:6" x14ac:dyDescent="0.2">
      <c r="F160" s="218"/>
    </row>
    <row r="161" spans="6:6" x14ac:dyDescent="0.2">
      <c r="F161" s="218"/>
    </row>
    <row r="162" spans="6:6" x14ac:dyDescent="0.2">
      <c r="F162" s="218"/>
    </row>
    <row r="163" spans="6:6" x14ac:dyDescent="0.2">
      <c r="F163" s="218"/>
    </row>
    <row r="164" spans="6:6" x14ac:dyDescent="0.2">
      <c r="F164" s="218"/>
    </row>
    <row r="165" spans="6:6" x14ac:dyDescent="0.2">
      <c r="F165" s="218"/>
    </row>
    <row r="166" spans="6:6" x14ac:dyDescent="0.2">
      <c r="F166" s="218"/>
    </row>
    <row r="167" spans="6:6" x14ac:dyDescent="0.2">
      <c r="F167" s="218"/>
    </row>
    <row r="168" spans="6:6" x14ac:dyDescent="0.2">
      <c r="F168" s="218"/>
    </row>
    <row r="169" spans="6:6" x14ac:dyDescent="0.2">
      <c r="F169" s="218"/>
    </row>
    <row r="170" spans="6:6" x14ac:dyDescent="0.2">
      <c r="F170" s="218"/>
    </row>
    <row r="171" spans="6:6" x14ac:dyDescent="0.2">
      <c r="F171" s="218"/>
    </row>
    <row r="172" spans="6:6" x14ac:dyDescent="0.2">
      <c r="F172" s="218"/>
    </row>
    <row r="173" spans="6:6" x14ac:dyDescent="0.2">
      <c r="F173" s="218"/>
    </row>
    <row r="174" spans="6:6" x14ac:dyDescent="0.2">
      <c r="F174" s="218"/>
    </row>
    <row r="175" spans="6:6" x14ac:dyDescent="0.2">
      <c r="F175" s="218"/>
    </row>
    <row r="176" spans="6:6" x14ac:dyDescent="0.2">
      <c r="F176" s="218"/>
    </row>
    <row r="177" spans="6:6" x14ac:dyDescent="0.2">
      <c r="F177" s="218"/>
    </row>
    <row r="178" spans="6:6" x14ac:dyDescent="0.2">
      <c r="F178" s="218"/>
    </row>
    <row r="179" spans="6:6" x14ac:dyDescent="0.2">
      <c r="F179" s="218"/>
    </row>
    <row r="180" spans="6:6" x14ac:dyDescent="0.2">
      <c r="F180" s="218"/>
    </row>
    <row r="181" spans="6:6" x14ac:dyDescent="0.2">
      <c r="F181" s="218"/>
    </row>
    <row r="182" spans="6:6" x14ac:dyDescent="0.2">
      <c r="F182" s="218"/>
    </row>
    <row r="183" spans="6:6" x14ac:dyDescent="0.2">
      <c r="F183" s="218"/>
    </row>
    <row r="184" spans="6:6" x14ac:dyDescent="0.2">
      <c r="F184" s="218"/>
    </row>
    <row r="185" spans="6:6" x14ac:dyDescent="0.2">
      <c r="F185" s="218"/>
    </row>
    <row r="186" spans="6:6" x14ac:dyDescent="0.2">
      <c r="F186" s="218"/>
    </row>
    <row r="187" spans="6:6" x14ac:dyDescent="0.2">
      <c r="F187" s="218"/>
    </row>
    <row r="188" spans="6:6" x14ac:dyDescent="0.2">
      <c r="F188" s="218"/>
    </row>
    <row r="189" spans="6:6" x14ac:dyDescent="0.2">
      <c r="F189" s="218"/>
    </row>
    <row r="190" spans="6:6" x14ac:dyDescent="0.2">
      <c r="F190" s="218"/>
    </row>
    <row r="191" spans="6:6" x14ac:dyDescent="0.2">
      <c r="F191" s="218"/>
    </row>
    <row r="192" spans="6:6" x14ac:dyDescent="0.2">
      <c r="F192" s="218"/>
    </row>
    <row r="193" spans="6:6" x14ac:dyDescent="0.2">
      <c r="F193" s="218"/>
    </row>
    <row r="194" spans="6:6" x14ac:dyDescent="0.2">
      <c r="F194" s="218"/>
    </row>
    <row r="195" spans="6:6" x14ac:dyDescent="0.2">
      <c r="F195" s="218"/>
    </row>
    <row r="196" spans="6:6" x14ac:dyDescent="0.2">
      <c r="F196" s="218"/>
    </row>
    <row r="197" spans="6:6" x14ac:dyDescent="0.2">
      <c r="F197" s="218"/>
    </row>
    <row r="198" spans="6:6" x14ac:dyDescent="0.2">
      <c r="F198" s="218"/>
    </row>
    <row r="199" spans="6:6" x14ac:dyDescent="0.2">
      <c r="F199" s="218"/>
    </row>
    <row r="200" spans="6:6" x14ac:dyDescent="0.2">
      <c r="F200" s="218"/>
    </row>
    <row r="201" spans="6:6" x14ac:dyDescent="0.2">
      <c r="F201" s="218"/>
    </row>
    <row r="202" spans="6:6" x14ac:dyDescent="0.2">
      <c r="F202" s="218"/>
    </row>
    <row r="203" spans="6:6" x14ac:dyDescent="0.2">
      <c r="F203" s="218"/>
    </row>
    <row r="204" spans="6:6" x14ac:dyDescent="0.2">
      <c r="F204" s="218"/>
    </row>
    <row r="205" spans="6:6" x14ac:dyDescent="0.2">
      <c r="F205" s="218"/>
    </row>
    <row r="206" spans="6:6" x14ac:dyDescent="0.2">
      <c r="F206" s="218"/>
    </row>
    <row r="207" spans="6:6" x14ac:dyDescent="0.2">
      <c r="F207" s="218"/>
    </row>
    <row r="208" spans="6:6" x14ac:dyDescent="0.2">
      <c r="F208" s="218"/>
    </row>
    <row r="209" spans="6:6" x14ac:dyDescent="0.2">
      <c r="F209" s="218"/>
    </row>
    <row r="210" spans="6:6" x14ac:dyDescent="0.2">
      <c r="F210" s="218"/>
    </row>
    <row r="211" spans="6:6" x14ac:dyDescent="0.2">
      <c r="F211" s="218"/>
    </row>
    <row r="212" spans="6:6" x14ac:dyDescent="0.2">
      <c r="F212" s="218"/>
    </row>
    <row r="213" spans="6:6" x14ac:dyDescent="0.2">
      <c r="F213" s="218"/>
    </row>
    <row r="214" spans="6:6" x14ac:dyDescent="0.2">
      <c r="F214" s="218"/>
    </row>
    <row r="215" spans="6:6" x14ac:dyDescent="0.2">
      <c r="F215" s="218"/>
    </row>
    <row r="216" spans="6:6" x14ac:dyDescent="0.2">
      <c r="F216" s="218"/>
    </row>
    <row r="217" spans="6:6" x14ac:dyDescent="0.2">
      <c r="F217" s="218"/>
    </row>
    <row r="218" spans="6:6" x14ac:dyDescent="0.2">
      <c r="F218" s="218"/>
    </row>
    <row r="219" spans="6:6" x14ac:dyDescent="0.2">
      <c r="F219" s="218"/>
    </row>
    <row r="220" spans="6:6" x14ac:dyDescent="0.2">
      <c r="F220" s="218"/>
    </row>
    <row r="221" spans="6:6" x14ac:dyDescent="0.2">
      <c r="F221" s="218"/>
    </row>
    <row r="222" spans="6:6" x14ac:dyDescent="0.2">
      <c r="F222" s="218"/>
    </row>
    <row r="223" spans="6:6" x14ac:dyDescent="0.2">
      <c r="F223" s="218"/>
    </row>
    <row r="224" spans="6:6" x14ac:dyDescent="0.2">
      <c r="F224" s="218"/>
    </row>
    <row r="225" spans="6:6" x14ac:dyDescent="0.2">
      <c r="F225" s="218"/>
    </row>
    <row r="226" spans="6:6" x14ac:dyDescent="0.2">
      <c r="F226" s="218"/>
    </row>
    <row r="227" spans="6:6" x14ac:dyDescent="0.2">
      <c r="F227" s="218"/>
    </row>
    <row r="228" spans="6:6" x14ac:dyDescent="0.2">
      <c r="F228" s="218"/>
    </row>
    <row r="229" spans="6:6" x14ac:dyDescent="0.2">
      <c r="F229" s="218"/>
    </row>
    <row r="230" spans="6:6" x14ac:dyDescent="0.2">
      <c r="F230" s="218"/>
    </row>
    <row r="231" spans="6:6" x14ac:dyDescent="0.2">
      <c r="F231" s="218"/>
    </row>
    <row r="232" spans="6:6" x14ac:dyDescent="0.2">
      <c r="F232" s="218"/>
    </row>
    <row r="233" spans="6:6" x14ac:dyDescent="0.2">
      <c r="F233" s="218"/>
    </row>
    <row r="234" spans="6:6" x14ac:dyDescent="0.2">
      <c r="F234" s="218"/>
    </row>
    <row r="235" spans="6:6" x14ac:dyDescent="0.2">
      <c r="F235" s="218"/>
    </row>
    <row r="236" spans="6:6" x14ac:dyDescent="0.2">
      <c r="F236" s="218"/>
    </row>
    <row r="237" spans="6:6" x14ac:dyDescent="0.2">
      <c r="F237" s="218"/>
    </row>
    <row r="238" spans="6:6" x14ac:dyDescent="0.2">
      <c r="F238" s="218"/>
    </row>
    <row r="239" spans="6:6" x14ac:dyDescent="0.2">
      <c r="F239" s="218"/>
    </row>
    <row r="240" spans="6:6" x14ac:dyDescent="0.2">
      <c r="F240" s="218"/>
    </row>
    <row r="241" spans="6:6" x14ac:dyDescent="0.2">
      <c r="F241" s="218"/>
    </row>
    <row r="242" spans="6:6" x14ac:dyDescent="0.2">
      <c r="F242" s="218"/>
    </row>
    <row r="243" spans="6:6" x14ac:dyDescent="0.2">
      <c r="F243" s="218"/>
    </row>
    <row r="244" spans="6:6" x14ac:dyDescent="0.2">
      <c r="F244" s="218"/>
    </row>
    <row r="245" spans="6:6" x14ac:dyDescent="0.2">
      <c r="F245" s="218"/>
    </row>
    <row r="246" spans="6:6" x14ac:dyDescent="0.2">
      <c r="F246" s="218"/>
    </row>
    <row r="247" spans="6:6" x14ac:dyDescent="0.2">
      <c r="F247" s="218"/>
    </row>
    <row r="248" spans="6:6" x14ac:dyDescent="0.2">
      <c r="F248" s="218"/>
    </row>
    <row r="249" spans="6:6" x14ac:dyDescent="0.2">
      <c r="F249" s="218"/>
    </row>
    <row r="250" spans="6:6" x14ac:dyDescent="0.2">
      <c r="F250" s="218"/>
    </row>
    <row r="251" spans="6:6" x14ac:dyDescent="0.2">
      <c r="F251" s="218"/>
    </row>
    <row r="252" spans="6:6" x14ac:dyDescent="0.2">
      <c r="F252" s="218"/>
    </row>
    <row r="253" spans="6:6" x14ac:dyDescent="0.2">
      <c r="F253" s="218"/>
    </row>
    <row r="254" spans="6:6" x14ac:dyDescent="0.2">
      <c r="F254" s="218"/>
    </row>
    <row r="255" spans="6:6" x14ac:dyDescent="0.2">
      <c r="F255" s="218"/>
    </row>
    <row r="256" spans="6:6" x14ac:dyDescent="0.2">
      <c r="F256" s="218"/>
    </row>
    <row r="257" spans="6:6" x14ac:dyDescent="0.2">
      <c r="F257" s="218"/>
    </row>
    <row r="258" spans="6:6" x14ac:dyDescent="0.2">
      <c r="F258" s="218"/>
    </row>
    <row r="259" spans="6:6" x14ac:dyDescent="0.2">
      <c r="F259" s="218"/>
    </row>
    <row r="260" spans="6:6" x14ac:dyDescent="0.2">
      <c r="F260" s="218"/>
    </row>
    <row r="261" spans="6:6" x14ac:dyDescent="0.2">
      <c r="F261" s="218"/>
    </row>
    <row r="262" spans="6:6" x14ac:dyDescent="0.2">
      <c r="F262" s="218"/>
    </row>
    <row r="263" spans="6:6" x14ac:dyDescent="0.2">
      <c r="F263" s="218"/>
    </row>
  </sheetData>
  <mergeCells count="10">
    <mergeCell ref="F25:F26"/>
    <mergeCell ref="F27:F28"/>
    <mergeCell ref="F29:F30"/>
    <mergeCell ref="G24:H24"/>
    <mergeCell ref="F92:F93"/>
    <mergeCell ref="G83:H83"/>
    <mergeCell ref="F84:F85"/>
    <mergeCell ref="F86:F87"/>
    <mergeCell ref="F88:F89"/>
    <mergeCell ref="F90:F9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26ECC-07A0-9B49-BBB0-EE87AA69B4BB}">
  <dimension ref="B3:Z56"/>
  <sheetViews>
    <sheetView workbookViewId="0">
      <selection activeCell="E32" sqref="E32"/>
    </sheetView>
  </sheetViews>
  <sheetFormatPr baseColWidth="10" defaultRowHeight="17" x14ac:dyDescent="0.25"/>
  <cols>
    <col min="2" max="2" width="52" bestFit="1" customWidth="1"/>
    <col min="3" max="3" width="10.83203125" customWidth="1"/>
    <col min="4" max="10" width="10.83203125" style="178"/>
    <col min="11" max="26" width="10.83203125" style="179"/>
  </cols>
  <sheetData>
    <row r="3" spans="2:4" x14ac:dyDescent="0.25">
      <c r="B3" t="s">
        <v>572</v>
      </c>
      <c r="D3" s="178" t="s">
        <v>574</v>
      </c>
    </row>
    <row r="4" spans="2:4" x14ac:dyDescent="0.25">
      <c r="D4" s="178" t="s">
        <v>575</v>
      </c>
    </row>
    <row r="5" spans="2:4" x14ac:dyDescent="0.25">
      <c r="D5" s="178" t="s">
        <v>576</v>
      </c>
    </row>
    <row r="6" spans="2:4" x14ac:dyDescent="0.25">
      <c r="D6" s="178" t="s">
        <v>577</v>
      </c>
    </row>
    <row r="7" spans="2:4" x14ac:dyDescent="0.25">
      <c r="D7" s="178" t="s">
        <v>578</v>
      </c>
    </row>
    <row r="8" spans="2:4" x14ac:dyDescent="0.25">
      <c r="D8" s="178" t="s">
        <v>579</v>
      </c>
    </row>
    <row r="9" spans="2:4" x14ac:dyDescent="0.25">
      <c r="D9" s="178" t="s">
        <v>580</v>
      </c>
    </row>
    <row r="10" spans="2:4" x14ac:dyDescent="0.25">
      <c r="D10" s="178" t="s">
        <v>581</v>
      </c>
    </row>
    <row r="11" spans="2:4" x14ac:dyDescent="0.25">
      <c r="D11" s="178" t="s">
        <v>582</v>
      </c>
    </row>
    <row r="12" spans="2:4" x14ac:dyDescent="0.25">
      <c r="D12" s="178" t="s">
        <v>576</v>
      </c>
    </row>
    <row r="13" spans="2:4" x14ac:dyDescent="0.25">
      <c r="D13" s="178" t="s">
        <v>583</v>
      </c>
    </row>
    <row r="14" spans="2:4" x14ac:dyDescent="0.25">
      <c r="D14" s="178" t="s">
        <v>584</v>
      </c>
    </row>
    <row r="15" spans="2:4" x14ac:dyDescent="0.25">
      <c r="D15" s="178" t="s">
        <v>585</v>
      </c>
    </row>
    <row r="16" spans="2:4" x14ac:dyDescent="0.25">
      <c r="D16" s="178" t="s">
        <v>586</v>
      </c>
    </row>
    <row r="17" spans="2:11" x14ac:dyDescent="0.25">
      <c r="D17" s="178" t="s">
        <v>587</v>
      </c>
    </row>
    <row r="18" spans="2:11" x14ac:dyDescent="0.25">
      <c r="D18" s="178" t="s">
        <v>574</v>
      </c>
    </row>
    <row r="19" spans="2:11" x14ac:dyDescent="0.25">
      <c r="D19" s="178" t="s">
        <v>588</v>
      </c>
    </row>
    <row r="22" spans="2:11" x14ac:dyDescent="0.25">
      <c r="B22" t="s">
        <v>571</v>
      </c>
      <c r="D22" s="178" t="s">
        <v>589</v>
      </c>
    </row>
    <row r="23" spans="2:11" x14ac:dyDescent="0.25">
      <c r="D23" s="178" t="s">
        <v>590</v>
      </c>
    </row>
    <row r="24" spans="2:11" x14ac:dyDescent="0.25">
      <c r="D24" s="178" t="s">
        <v>591</v>
      </c>
    </row>
    <row r="25" spans="2:11" x14ac:dyDescent="0.25">
      <c r="D25" s="178" t="s">
        <v>592</v>
      </c>
    </row>
    <row r="26" spans="2:11" x14ac:dyDescent="0.25">
      <c r="D26" s="178" t="s">
        <v>593</v>
      </c>
    </row>
    <row r="27" spans="2:11" x14ac:dyDescent="0.25">
      <c r="D27" s="178" t="s">
        <v>594</v>
      </c>
    </row>
    <row r="28" spans="2:11" x14ac:dyDescent="0.25">
      <c r="D28" s="178" t="s">
        <v>595</v>
      </c>
    </row>
    <row r="29" spans="2:11" x14ac:dyDescent="0.25">
      <c r="D29" s="178" t="s">
        <v>596</v>
      </c>
      <c r="K29" s="179" t="s">
        <v>617</v>
      </c>
    </row>
    <row r="30" spans="2:11" x14ac:dyDescent="0.25">
      <c r="D30" s="178" t="s">
        <v>597</v>
      </c>
    </row>
    <row r="31" spans="2:11" x14ac:dyDescent="0.25">
      <c r="D31" s="178" t="s">
        <v>591</v>
      </c>
    </row>
    <row r="32" spans="2:11" x14ac:dyDescent="0.25">
      <c r="D32" s="178" t="s">
        <v>598</v>
      </c>
    </row>
    <row r="33" spans="2:11" x14ac:dyDescent="0.25">
      <c r="D33" s="178" t="s">
        <v>599</v>
      </c>
    </row>
    <row r="34" spans="2:11" x14ac:dyDescent="0.25">
      <c r="D34" s="178" t="s">
        <v>600</v>
      </c>
    </row>
    <row r="35" spans="2:11" x14ac:dyDescent="0.25">
      <c r="D35" s="178" t="s">
        <v>601</v>
      </c>
    </row>
    <row r="36" spans="2:11" x14ac:dyDescent="0.25">
      <c r="D36" s="178" t="s">
        <v>602</v>
      </c>
    </row>
    <row r="37" spans="2:11" x14ac:dyDescent="0.25">
      <c r="D37" s="178" t="s">
        <v>589</v>
      </c>
    </row>
    <row r="38" spans="2:11" x14ac:dyDescent="0.25">
      <c r="D38" s="178" t="s">
        <v>588</v>
      </c>
    </row>
    <row r="40" spans="2:11" x14ac:dyDescent="0.25">
      <c r="B40" t="s">
        <v>603</v>
      </c>
      <c r="D40" s="178" t="s">
        <v>574</v>
      </c>
    </row>
    <row r="41" spans="2:11" x14ac:dyDescent="0.25">
      <c r="D41" s="178" t="s">
        <v>604</v>
      </c>
    </row>
    <row r="42" spans="2:11" x14ac:dyDescent="0.25">
      <c r="D42" s="178" t="s">
        <v>576</v>
      </c>
    </row>
    <row r="43" spans="2:11" x14ac:dyDescent="0.25">
      <c r="D43" s="178" t="s">
        <v>605</v>
      </c>
    </row>
    <row r="44" spans="2:11" x14ac:dyDescent="0.25">
      <c r="D44" s="178" t="s">
        <v>606</v>
      </c>
    </row>
    <row r="45" spans="2:11" x14ac:dyDescent="0.25">
      <c r="D45" s="178" t="s">
        <v>607</v>
      </c>
    </row>
    <row r="46" spans="2:11" x14ac:dyDescent="0.25">
      <c r="D46" s="178" t="s">
        <v>608</v>
      </c>
    </row>
    <row r="47" spans="2:11" x14ac:dyDescent="0.25">
      <c r="D47" s="178" t="s">
        <v>609</v>
      </c>
      <c r="K47" s="179" t="s">
        <v>616</v>
      </c>
    </row>
    <row r="48" spans="2:11" x14ac:dyDescent="0.25">
      <c r="D48" s="178" t="s">
        <v>610</v>
      </c>
    </row>
    <row r="49" spans="4:4" x14ac:dyDescent="0.25">
      <c r="D49" s="178" t="s">
        <v>576</v>
      </c>
    </row>
    <row r="50" spans="4:4" x14ac:dyDescent="0.25">
      <c r="D50" s="178" t="s">
        <v>611</v>
      </c>
    </row>
    <row r="51" spans="4:4" x14ac:dyDescent="0.25">
      <c r="D51" s="178" t="s">
        <v>612</v>
      </c>
    </row>
    <row r="52" spans="4:4" x14ac:dyDescent="0.25">
      <c r="D52" s="178" t="s">
        <v>613</v>
      </c>
    </row>
    <row r="53" spans="4:4" x14ac:dyDescent="0.25">
      <c r="D53" s="178" t="s">
        <v>614</v>
      </c>
    </row>
    <row r="54" spans="4:4" x14ac:dyDescent="0.25">
      <c r="D54" s="178" t="s">
        <v>615</v>
      </c>
    </row>
    <row r="55" spans="4:4" x14ac:dyDescent="0.25">
      <c r="D55" s="178" t="s">
        <v>574</v>
      </c>
    </row>
    <row r="56" spans="4:4" x14ac:dyDescent="0.25">
      <c r="D56" s="178" t="s">
        <v>588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1D18A-C464-364C-95F7-F927C76322D3}">
  <dimension ref="B2:AI115"/>
  <sheetViews>
    <sheetView topLeftCell="C18" zoomScale="140" zoomScaleNormal="140" workbookViewId="0">
      <selection activeCell="D26" sqref="D26:G38"/>
    </sheetView>
  </sheetViews>
  <sheetFormatPr baseColWidth="10" defaultRowHeight="22" x14ac:dyDescent="0.3"/>
  <cols>
    <col min="2" max="2" width="21.83203125" style="93" bestFit="1" customWidth="1"/>
    <col min="3" max="3" width="21.6640625" style="39" bestFit="1" customWidth="1"/>
    <col min="4" max="5" width="21.6640625" style="39" customWidth="1"/>
    <col min="6" max="7" width="18.83203125" style="39" customWidth="1"/>
    <col min="8" max="9" width="21.6640625" style="39" customWidth="1"/>
    <col min="10" max="12" width="18.83203125" style="39" customWidth="1"/>
    <col min="13" max="13" width="22" style="72" customWidth="1"/>
    <col min="14" max="14" width="24" style="72" customWidth="1"/>
    <col min="15" max="16" width="21.6640625" style="72" customWidth="1"/>
    <col min="17" max="18" width="18.83203125" style="72" customWidth="1"/>
    <col min="19" max="19" width="10.83203125" style="32"/>
    <col min="20" max="20" width="14.33203125" style="32" bestFit="1" customWidth="1"/>
    <col min="21" max="26" width="10.83203125" style="32"/>
    <col min="27" max="27" width="10.83203125" style="81"/>
    <col min="28" max="35" width="10.83203125" style="1"/>
  </cols>
  <sheetData>
    <row r="2" spans="2:27" x14ac:dyDescent="0.2">
      <c r="B2" s="30" t="s">
        <v>388</v>
      </c>
      <c r="C2" s="158" t="s">
        <v>389</v>
      </c>
      <c r="D2" s="158"/>
      <c r="E2" s="158"/>
      <c r="F2" s="158"/>
      <c r="G2" s="158"/>
      <c r="H2" s="158"/>
      <c r="I2" s="158"/>
      <c r="J2" s="158"/>
      <c r="K2" s="158"/>
      <c r="L2" s="158"/>
      <c r="M2" s="159" t="s">
        <v>390</v>
      </c>
      <c r="N2" s="159"/>
      <c r="O2" s="159"/>
      <c r="P2" s="159"/>
      <c r="Q2" s="159"/>
      <c r="R2" s="159"/>
      <c r="S2" s="140" t="s">
        <v>452</v>
      </c>
      <c r="T2" s="140"/>
      <c r="U2" s="140"/>
      <c r="V2" s="140"/>
      <c r="W2" s="140"/>
      <c r="X2" s="140"/>
      <c r="Y2" s="140"/>
      <c r="Z2" s="140"/>
      <c r="AA2" s="140"/>
    </row>
    <row r="3" spans="2:27" ht="21" x14ac:dyDescent="0.2">
      <c r="B3" s="152" t="s">
        <v>453</v>
      </c>
      <c r="C3" s="37"/>
      <c r="D3" s="37"/>
      <c r="E3" s="37"/>
      <c r="F3" s="37"/>
      <c r="G3" s="37"/>
      <c r="H3" s="37"/>
      <c r="I3" s="37"/>
      <c r="J3" s="37"/>
      <c r="K3" s="37"/>
      <c r="L3" s="37"/>
      <c r="M3" s="69"/>
      <c r="N3" s="69"/>
      <c r="O3" s="69"/>
      <c r="P3" s="69"/>
      <c r="Q3" s="69"/>
      <c r="R3" s="69"/>
    </row>
    <row r="4" spans="2:27" ht="21" x14ac:dyDescent="0.2">
      <c r="B4" s="153"/>
      <c r="C4" s="37"/>
      <c r="D4" s="38"/>
      <c r="E4" s="38"/>
      <c r="F4" s="38"/>
      <c r="G4" s="38"/>
      <c r="H4" s="38"/>
      <c r="J4" s="40" t="s">
        <v>419</v>
      </c>
      <c r="K4" s="38"/>
      <c r="L4" s="38"/>
      <c r="M4" s="70"/>
      <c r="N4" s="70"/>
      <c r="O4" s="69"/>
      <c r="P4" s="69"/>
      <c r="Q4" s="69"/>
      <c r="R4" s="69"/>
      <c r="T4" s="34" t="s">
        <v>445</v>
      </c>
    </row>
    <row r="5" spans="2:27" ht="21" customHeight="1" x14ac:dyDescent="0.2">
      <c r="B5" s="153"/>
      <c r="C5" s="37"/>
      <c r="D5" s="38"/>
      <c r="E5" s="38"/>
      <c r="F5" s="38"/>
      <c r="G5" s="38"/>
      <c r="H5" s="38"/>
      <c r="J5" s="41"/>
      <c r="K5" s="42" t="s">
        <v>340</v>
      </c>
      <c r="L5" s="42" t="s">
        <v>341</v>
      </c>
      <c r="M5" s="71" t="s">
        <v>342</v>
      </c>
      <c r="N5" s="71" t="s">
        <v>343</v>
      </c>
      <c r="O5" s="69"/>
      <c r="P5" s="69"/>
      <c r="Q5" s="69"/>
      <c r="R5" s="69"/>
      <c r="T5" s="82"/>
      <c r="U5" s="35" t="s">
        <v>340</v>
      </c>
      <c r="V5" s="35" t="s">
        <v>341</v>
      </c>
      <c r="W5" s="35" t="s">
        <v>342</v>
      </c>
      <c r="X5" s="35" t="s">
        <v>343</v>
      </c>
      <c r="Y5" s="35" t="s">
        <v>417</v>
      </c>
    </row>
    <row r="6" spans="2:27" ht="16" customHeight="1" x14ac:dyDescent="0.2">
      <c r="B6" s="153"/>
      <c r="D6" s="38"/>
      <c r="E6" s="38"/>
      <c r="F6" s="38"/>
      <c r="G6" s="38"/>
      <c r="H6" s="38"/>
      <c r="J6" s="43" t="s">
        <v>388</v>
      </c>
      <c r="K6" s="155" t="s">
        <v>399</v>
      </c>
      <c r="L6" s="155"/>
      <c r="M6" s="147" t="s">
        <v>400</v>
      </c>
      <c r="N6" s="147"/>
      <c r="T6" s="143" t="s">
        <v>345</v>
      </c>
      <c r="U6" s="144" t="s">
        <v>449</v>
      </c>
      <c r="V6" s="144"/>
      <c r="W6" s="144"/>
      <c r="X6" s="83" t="s">
        <v>450</v>
      </c>
      <c r="Y6" s="83" t="s">
        <v>451</v>
      </c>
    </row>
    <row r="7" spans="2:27" ht="16" x14ac:dyDescent="0.2">
      <c r="B7" s="153"/>
      <c r="D7" s="38"/>
      <c r="E7" s="38"/>
      <c r="F7" s="38"/>
      <c r="G7" s="38"/>
      <c r="H7" s="38"/>
      <c r="J7" s="156" t="s">
        <v>334</v>
      </c>
      <c r="K7" s="44" t="s">
        <v>6</v>
      </c>
      <c r="L7" s="44" t="s">
        <v>67</v>
      </c>
      <c r="M7" s="73" t="s">
        <v>41</v>
      </c>
      <c r="N7" s="73" t="s">
        <v>387</v>
      </c>
      <c r="T7" s="143"/>
      <c r="U7" s="84" t="s">
        <v>442</v>
      </c>
      <c r="V7" s="36" t="s">
        <v>443</v>
      </c>
      <c r="W7" s="36" t="s">
        <v>444</v>
      </c>
      <c r="X7" s="85"/>
      <c r="Y7" s="85"/>
    </row>
    <row r="8" spans="2:27" ht="16" customHeight="1" x14ac:dyDescent="0.2">
      <c r="B8" s="153"/>
      <c r="D8" s="38"/>
      <c r="E8" s="38"/>
      <c r="F8" s="38"/>
      <c r="G8" s="38"/>
      <c r="H8" s="38"/>
      <c r="J8" s="156"/>
      <c r="K8" s="44" t="s">
        <v>16</v>
      </c>
      <c r="L8" s="44" t="s">
        <v>30</v>
      </c>
      <c r="M8" s="73" t="s">
        <v>383</v>
      </c>
      <c r="N8" s="73" t="s">
        <v>88</v>
      </c>
      <c r="T8" s="145" t="s">
        <v>403</v>
      </c>
      <c r="U8" s="83">
        <v>-0.01</v>
      </c>
      <c r="V8" s="86">
        <v>-2E-3</v>
      </c>
      <c r="W8" s="86">
        <v>-8.9999999999999993E-3</v>
      </c>
      <c r="X8" s="83">
        <v>-3.9E-2</v>
      </c>
      <c r="Y8" s="83">
        <v>-8.9999999999999993E-3</v>
      </c>
    </row>
    <row r="9" spans="2:27" ht="16" x14ac:dyDescent="0.2">
      <c r="B9" s="153"/>
      <c r="D9" s="38"/>
      <c r="E9" s="38"/>
      <c r="F9" s="38"/>
      <c r="G9" s="38"/>
      <c r="H9" s="38"/>
      <c r="J9" s="156" t="s">
        <v>401</v>
      </c>
      <c r="K9" s="44"/>
      <c r="L9" s="44" t="s">
        <v>76</v>
      </c>
      <c r="M9" s="73"/>
      <c r="N9" s="73" t="s">
        <v>384</v>
      </c>
      <c r="T9" s="146"/>
      <c r="U9" s="87" t="s">
        <v>446</v>
      </c>
      <c r="V9" s="88" t="s">
        <v>447</v>
      </c>
      <c r="W9" s="88" t="s">
        <v>447</v>
      </c>
      <c r="X9" s="87" t="s">
        <v>222</v>
      </c>
      <c r="Y9" s="87" t="s">
        <v>29</v>
      </c>
    </row>
    <row r="10" spans="2:27" ht="16" customHeight="1" x14ac:dyDescent="0.2">
      <c r="B10" s="153"/>
      <c r="D10" s="38"/>
      <c r="E10" s="38"/>
      <c r="F10" s="38"/>
      <c r="G10" s="38"/>
      <c r="H10" s="38"/>
      <c r="J10" s="156"/>
      <c r="K10" s="44"/>
      <c r="L10" s="44" t="s">
        <v>26</v>
      </c>
      <c r="M10" s="73"/>
      <c r="N10" s="73" t="s">
        <v>16</v>
      </c>
      <c r="T10" s="89" t="s">
        <v>338</v>
      </c>
      <c r="U10" s="83" t="s">
        <v>336</v>
      </c>
      <c r="V10" s="83" t="s">
        <v>336</v>
      </c>
      <c r="W10" s="83" t="s">
        <v>336</v>
      </c>
      <c r="X10" s="83" t="s">
        <v>336</v>
      </c>
      <c r="Y10" s="83" t="s">
        <v>336</v>
      </c>
    </row>
    <row r="11" spans="2:27" ht="16" x14ac:dyDescent="0.2">
      <c r="B11" s="153"/>
      <c r="D11" s="38"/>
      <c r="E11" s="38"/>
      <c r="F11" s="38"/>
      <c r="G11" s="38"/>
      <c r="H11" s="38"/>
      <c r="J11" s="156" t="s">
        <v>402</v>
      </c>
      <c r="K11" s="44"/>
      <c r="L11" s="44" t="s">
        <v>80</v>
      </c>
      <c r="M11" s="73"/>
      <c r="N11" s="73" t="s">
        <v>385</v>
      </c>
      <c r="T11" s="90" t="s">
        <v>410</v>
      </c>
      <c r="U11" s="84" t="s">
        <v>336</v>
      </c>
      <c r="V11" s="84" t="s">
        <v>336</v>
      </c>
      <c r="W11" s="84" t="s">
        <v>336</v>
      </c>
      <c r="X11" s="84" t="s">
        <v>336</v>
      </c>
      <c r="Y11" s="84" t="s">
        <v>336</v>
      </c>
    </row>
    <row r="12" spans="2:27" ht="16" x14ac:dyDescent="0.2">
      <c r="B12" s="153"/>
      <c r="D12" s="38"/>
      <c r="E12" s="38"/>
      <c r="F12" s="38"/>
      <c r="G12" s="38"/>
      <c r="H12" s="38"/>
      <c r="J12" s="157"/>
      <c r="K12" s="45"/>
      <c r="L12" s="45" t="s">
        <v>85</v>
      </c>
      <c r="M12" s="74"/>
      <c r="N12" s="74" t="s">
        <v>99</v>
      </c>
      <c r="T12" s="90" t="s">
        <v>339</v>
      </c>
      <c r="U12" s="91">
        <v>3613</v>
      </c>
      <c r="V12" s="91">
        <v>3613</v>
      </c>
      <c r="W12" s="91">
        <v>3613</v>
      </c>
      <c r="X12" s="91">
        <v>2748</v>
      </c>
      <c r="Y12" s="91">
        <v>3613</v>
      </c>
    </row>
    <row r="13" spans="2:27" ht="16" x14ac:dyDescent="0.2">
      <c r="B13" s="153"/>
      <c r="D13" s="38"/>
      <c r="E13" s="38"/>
      <c r="F13" s="38"/>
      <c r="G13" s="38"/>
      <c r="H13" s="38"/>
      <c r="J13" s="46" t="s">
        <v>335</v>
      </c>
      <c r="K13" s="44" t="s">
        <v>336</v>
      </c>
      <c r="L13" s="44" t="s">
        <v>336</v>
      </c>
      <c r="M13" s="73" t="s">
        <v>336</v>
      </c>
      <c r="N13" s="73" t="s">
        <v>336</v>
      </c>
    </row>
    <row r="14" spans="2:27" ht="16" x14ac:dyDescent="0.2">
      <c r="B14" s="153"/>
      <c r="D14" s="38"/>
      <c r="E14" s="38"/>
      <c r="F14" s="38"/>
      <c r="G14" s="38"/>
      <c r="H14" s="38"/>
      <c r="J14" s="46" t="s">
        <v>337</v>
      </c>
      <c r="K14" s="44" t="s">
        <v>336</v>
      </c>
      <c r="L14" s="44" t="s">
        <v>336</v>
      </c>
      <c r="M14" s="73" t="s">
        <v>336</v>
      </c>
      <c r="N14" s="73" t="s">
        <v>336</v>
      </c>
    </row>
    <row r="15" spans="2:27" ht="16" x14ac:dyDescent="0.2">
      <c r="B15" s="153"/>
      <c r="D15" s="38"/>
      <c r="E15" s="38"/>
      <c r="F15" s="38"/>
      <c r="G15" s="38"/>
      <c r="H15" s="38"/>
      <c r="J15" s="46" t="s">
        <v>338</v>
      </c>
      <c r="K15" s="44" t="s">
        <v>336</v>
      </c>
      <c r="L15" s="44" t="s">
        <v>336</v>
      </c>
      <c r="M15" s="73" t="s">
        <v>336</v>
      </c>
      <c r="N15" s="73" t="s">
        <v>336</v>
      </c>
    </row>
    <row r="16" spans="2:27" ht="16" x14ac:dyDescent="0.2">
      <c r="B16" s="153"/>
      <c r="J16" s="47" t="s">
        <v>339</v>
      </c>
      <c r="K16" s="45" t="s">
        <v>344</v>
      </c>
      <c r="L16" s="45" t="s">
        <v>347</v>
      </c>
      <c r="M16" s="74" t="s">
        <v>386</v>
      </c>
      <c r="N16" s="74" t="s">
        <v>386</v>
      </c>
    </row>
    <row r="17" spans="2:35" ht="16" x14ac:dyDescent="0.2">
      <c r="B17" s="153"/>
    </row>
    <row r="18" spans="2:35" ht="16" x14ac:dyDescent="0.2">
      <c r="B18" s="153"/>
    </row>
    <row r="19" spans="2:35" ht="16" x14ac:dyDescent="0.2">
      <c r="B19" s="153"/>
    </row>
    <row r="20" spans="2:35" ht="16" x14ac:dyDescent="0.2">
      <c r="B20" s="153"/>
    </row>
    <row r="21" spans="2:35" ht="16" x14ac:dyDescent="0.2">
      <c r="B21" s="153"/>
    </row>
    <row r="22" spans="2:35" ht="16" x14ac:dyDescent="0.2">
      <c r="B22" s="153"/>
    </row>
    <row r="23" spans="2:35" ht="16" x14ac:dyDescent="0.2">
      <c r="B23" s="153"/>
    </row>
    <row r="24" spans="2:35" ht="16" customHeight="1" x14ac:dyDescent="0.2">
      <c r="B24" s="154" t="s">
        <v>455</v>
      </c>
    </row>
    <row r="25" spans="2:35" ht="16" x14ac:dyDescent="0.2">
      <c r="B25" s="154"/>
      <c r="J25" s="181"/>
    </row>
    <row r="26" spans="2:35" ht="16" x14ac:dyDescent="0.2">
      <c r="B26" s="154"/>
      <c r="D26" s="41"/>
      <c r="E26" s="42" t="s">
        <v>340</v>
      </c>
      <c r="F26" s="42" t="s">
        <v>341</v>
      </c>
      <c r="J26" s="181"/>
      <c r="N26" s="113"/>
      <c r="O26" s="71" t="s">
        <v>340</v>
      </c>
      <c r="P26" s="71" t="s">
        <v>341</v>
      </c>
    </row>
    <row r="27" spans="2:35" ht="16" x14ac:dyDescent="0.2">
      <c r="B27" s="154"/>
      <c r="E27" s="112" t="s">
        <v>534</v>
      </c>
      <c r="F27" s="112" t="s">
        <v>535</v>
      </c>
      <c r="J27" s="181"/>
      <c r="O27" s="114" t="s">
        <v>538</v>
      </c>
      <c r="P27" s="114" t="s">
        <v>539</v>
      </c>
    </row>
    <row r="28" spans="2:35" s="26" customFormat="1" ht="16" customHeight="1" x14ac:dyDescent="0.2">
      <c r="B28" s="154"/>
      <c r="C28" s="39"/>
      <c r="D28" s="43" t="s">
        <v>388</v>
      </c>
      <c r="E28" s="155" t="s">
        <v>399</v>
      </c>
      <c r="F28" s="155"/>
      <c r="G28" s="38"/>
      <c r="H28" s="38"/>
      <c r="I28" s="38"/>
      <c r="J28" s="181"/>
      <c r="K28" s="39"/>
      <c r="L28" s="39"/>
      <c r="M28" s="72"/>
      <c r="N28" s="115" t="s">
        <v>388</v>
      </c>
      <c r="O28" s="147" t="s">
        <v>400</v>
      </c>
      <c r="P28" s="147"/>
      <c r="Q28" s="72"/>
      <c r="R28" s="72"/>
      <c r="S28" s="33"/>
      <c r="T28" s="33"/>
      <c r="U28" s="33"/>
      <c r="V28" s="33"/>
      <c r="W28" s="33"/>
      <c r="X28" s="33"/>
      <c r="Y28" s="33"/>
      <c r="Z28" s="33"/>
      <c r="AA28" s="92"/>
      <c r="AB28" s="31"/>
      <c r="AC28" s="31"/>
      <c r="AD28" s="31"/>
      <c r="AE28" s="31"/>
      <c r="AF28" s="31"/>
      <c r="AG28" s="31"/>
      <c r="AH28" s="31"/>
      <c r="AI28" s="31"/>
    </row>
    <row r="29" spans="2:35" ht="16" x14ac:dyDescent="0.2">
      <c r="B29" s="154"/>
      <c r="D29" s="156" t="s">
        <v>334</v>
      </c>
      <c r="E29" s="44" t="s">
        <v>526</v>
      </c>
      <c r="F29" s="44" t="s">
        <v>528</v>
      </c>
      <c r="G29" s="38" t="s">
        <v>540</v>
      </c>
      <c r="H29" s="38"/>
      <c r="I29" s="38"/>
      <c r="J29" s="181"/>
      <c r="N29" s="148" t="s">
        <v>334</v>
      </c>
      <c r="O29" s="73" t="s">
        <v>623</v>
      </c>
      <c r="P29" s="73" t="s">
        <v>618</v>
      </c>
      <c r="Q29" s="73"/>
      <c r="R29" s="70"/>
    </row>
    <row r="30" spans="2:35" ht="16" customHeight="1" x14ac:dyDescent="0.2">
      <c r="B30" s="154"/>
      <c r="D30" s="156"/>
      <c r="E30" s="44" t="s">
        <v>94</v>
      </c>
      <c r="F30" s="44" t="s">
        <v>529</v>
      </c>
      <c r="G30" s="38" t="s">
        <v>541</v>
      </c>
      <c r="H30" s="38"/>
      <c r="I30" s="38"/>
      <c r="J30" s="181"/>
      <c r="N30" s="148"/>
      <c r="O30" s="73" t="s">
        <v>624</v>
      </c>
      <c r="P30" s="73" t="s">
        <v>619</v>
      </c>
      <c r="Q30" s="73"/>
      <c r="R30" s="70"/>
    </row>
    <row r="31" spans="2:35" ht="16" x14ac:dyDescent="0.2">
      <c r="B31" s="154"/>
      <c r="D31" s="156" t="s">
        <v>401</v>
      </c>
      <c r="E31" s="44" t="s">
        <v>527</v>
      </c>
      <c r="F31" s="44" t="s">
        <v>55</v>
      </c>
      <c r="G31" s="38" t="s">
        <v>542</v>
      </c>
      <c r="H31" s="38"/>
      <c r="I31" s="38"/>
      <c r="J31" s="181"/>
      <c r="N31" s="148" t="s">
        <v>401</v>
      </c>
      <c r="O31" s="73" t="s">
        <v>384</v>
      </c>
      <c r="P31" s="73" t="s">
        <v>620</v>
      </c>
      <c r="Q31" s="73"/>
      <c r="R31" s="70"/>
    </row>
    <row r="32" spans="2:35" ht="16" customHeight="1" x14ac:dyDescent="0.2">
      <c r="B32" s="154"/>
      <c r="D32" s="156"/>
      <c r="E32" s="44" t="s">
        <v>57</v>
      </c>
      <c r="F32" s="44" t="s">
        <v>530</v>
      </c>
      <c r="G32" s="38" t="s">
        <v>543</v>
      </c>
      <c r="H32" s="38"/>
      <c r="I32" s="38"/>
      <c r="J32" s="181"/>
      <c r="N32" s="148"/>
      <c r="O32" s="73" t="s">
        <v>251</v>
      </c>
      <c r="P32" s="73" t="s">
        <v>218</v>
      </c>
      <c r="Q32" s="73"/>
      <c r="R32" s="70"/>
    </row>
    <row r="33" spans="2:19" ht="16" x14ac:dyDescent="0.2">
      <c r="B33" s="154"/>
      <c r="D33" s="156" t="s">
        <v>402</v>
      </c>
      <c r="E33" s="44" t="s">
        <v>278</v>
      </c>
      <c r="F33" s="44" t="s">
        <v>531</v>
      </c>
      <c r="G33" s="38"/>
      <c r="H33" s="38"/>
      <c r="I33" s="38"/>
      <c r="J33" s="181"/>
      <c r="N33" s="148" t="s">
        <v>402</v>
      </c>
      <c r="O33" s="73" t="s">
        <v>622</v>
      </c>
      <c r="P33" s="73" t="s">
        <v>621</v>
      </c>
      <c r="Q33" s="180" t="s">
        <v>617</v>
      </c>
      <c r="R33" s="180"/>
    </row>
    <row r="34" spans="2:19" ht="16" x14ac:dyDescent="0.2">
      <c r="B34" s="154"/>
      <c r="D34" s="157"/>
      <c r="E34" s="45" t="s">
        <v>532</v>
      </c>
      <c r="F34" s="45" t="s">
        <v>533</v>
      </c>
      <c r="G34" s="38"/>
      <c r="H34" s="38"/>
      <c r="I34" s="38"/>
      <c r="J34" s="181"/>
      <c r="N34" s="149"/>
      <c r="O34" s="74" t="s">
        <v>58</v>
      </c>
      <c r="P34" s="74" t="s">
        <v>21</v>
      </c>
      <c r="R34" s="70"/>
    </row>
    <row r="35" spans="2:19" ht="16" x14ac:dyDescent="0.2">
      <c r="B35" s="154"/>
      <c r="D35" s="46" t="s">
        <v>335</v>
      </c>
      <c r="E35" s="44" t="s">
        <v>336</v>
      </c>
      <c r="F35" s="44" t="s">
        <v>336</v>
      </c>
      <c r="G35" s="38"/>
      <c r="H35" s="38"/>
      <c r="I35" s="38"/>
      <c r="J35" s="181"/>
      <c r="N35" s="116" t="s">
        <v>335</v>
      </c>
      <c r="O35" s="73" t="s">
        <v>336</v>
      </c>
      <c r="P35" s="73" t="s">
        <v>336</v>
      </c>
      <c r="R35" s="70"/>
    </row>
    <row r="36" spans="2:19" ht="16" x14ac:dyDescent="0.2">
      <c r="B36" s="154"/>
      <c r="D36" s="46" t="s">
        <v>337</v>
      </c>
      <c r="E36" s="44" t="s">
        <v>336</v>
      </c>
      <c r="F36" s="44" t="s">
        <v>336</v>
      </c>
      <c r="G36" s="38"/>
      <c r="H36" s="38"/>
      <c r="I36" s="38"/>
      <c r="J36" s="181"/>
      <c r="N36" s="116" t="s">
        <v>337</v>
      </c>
      <c r="O36" s="73" t="s">
        <v>336</v>
      </c>
      <c r="P36" s="73" t="s">
        <v>336</v>
      </c>
      <c r="R36" s="70"/>
    </row>
    <row r="37" spans="2:19" ht="16" x14ac:dyDescent="0.2">
      <c r="B37" s="154"/>
      <c r="D37" s="46" t="s">
        <v>338</v>
      </c>
      <c r="E37" s="44" t="s">
        <v>336</v>
      </c>
      <c r="F37" s="44" t="s">
        <v>336</v>
      </c>
      <c r="G37" s="38"/>
      <c r="H37" s="38"/>
      <c r="I37" s="38"/>
      <c r="J37" s="181"/>
      <c r="N37" s="116" t="s">
        <v>338</v>
      </c>
      <c r="O37" s="73" t="s">
        <v>336</v>
      </c>
      <c r="P37" s="73" t="s">
        <v>336</v>
      </c>
      <c r="R37" s="70"/>
    </row>
    <row r="38" spans="2:19" ht="16" x14ac:dyDescent="0.2">
      <c r="B38" s="154"/>
      <c r="D38" s="47" t="s">
        <v>339</v>
      </c>
      <c r="E38" s="45" t="s">
        <v>536</v>
      </c>
      <c r="F38" s="45" t="s">
        <v>537</v>
      </c>
      <c r="J38" s="181"/>
      <c r="N38" s="117" t="s">
        <v>339</v>
      </c>
      <c r="O38" s="74" t="s">
        <v>626</v>
      </c>
      <c r="P38" s="74" t="s">
        <v>625</v>
      </c>
    </row>
    <row r="39" spans="2:19" ht="16" x14ac:dyDescent="0.2">
      <c r="B39" s="154"/>
      <c r="J39" s="181"/>
      <c r="Q39" s="73"/>
    </row>
    <row r="40" spans="2:19" ht="16" x14ac:dyDescent="0.2">
      <c r="B40" s="154"/>
      <c r="J40" s="181"/>
      <c r="Q40" s="73"/>
    </row>
    <row r="41" spans="2:19" ht="17" x14ac:dyDescent="0.25">
      <c r="B41" s="154"/>
      <c r="J41" s="181"/>
      <c r="N41" s="113"/>
      <c r="O41" s="71" t="s">
        <v>340</v>
      </c>
      <c r="P41" s="71" t="s">
        <v>341</v>
      </c>
      <c r="Q41" s="73"/>
      <c r="S41" s="213" t="s">
        <v>730</v>
      </c>
    </row>
    <row r="42" spans="2:19" ht="17" x14ac:dyDescent="0.25">
      <c r="B42" s="154"/>
      <c r="J42" s="181"/>
      <c r="O42" s="114" t="s">
        <v>636</v>
      </c>
      <c r="P42" s="114" t="s">
        <v>637</v>
      </c>
      <c r="S42" s="213" t="s">
        <v>731</v>
      </c>
    </row>
    <row r="43" spans="2:19" ht="17" x14ac:dyDescent="0.25">
      <c r="B43" s="154"/>
      <c r="J43" s="181"/>
      <c r="N43" s="115" t="s">
        <v>388</v>
      </c>
      <c r="O43" s="147" t="s">
        <v>400</v>
      </c>
      <c r="P43" s="147"/>
      <c r="S43" s="213" t="s">
        <v>732</v>
      </c>
    </row>
    <row r="44" spans="2:19" ht="17" x14ac:dyDescent="0.25">
      <c r="B44" s="154"/>
      <c r="J44" s="181"/>
      <c r="N44" s="148" t="s">
        <v>334</v>
      </c>
      <c r="O44" s="73" t="s">
        <v>628</v>
      </c>
      <c r="P44" s="73" t="s">
        <v>627</v>
      </c>
      <c r="Q44" s="73"/>
      <c r="S44" s="213" t="s">
        <v>733</v>
      </c>
    </row>
    <row r="45" spans="2:19" ht="17" x14ac:dyDescent="0.25">
      <c r="B45" s="154"/>
      <c r="J45" s="181"/>
      <c r="N45" s="148"/>
      <c r="O45" s="73" t="s">
        <v>629</v>
      </c>
      <c r="P45" s="73" t="s">
        <v>210</v>
      </c>
      <c r="Q45" s="73"/>
      <c r="S45" s="213">
        <v>-8.4000000000000005E-2</v>
      </c>
    </row>
    <row r="46" spans="2:19" ht="17" x14ac:dyDescent="0.25">
      <c r="B46" s="154"/>
      <c r="J46" s="181"/>
      <c r="N46" s="148" t="s">
        <v>401</v>
      </c>
      <c r="O46" s="73" t="s">
        <v>630</v>
      </c>
      <c r="P46" s="73" t="s">
        <v>154</v>
      </c>
      <c r="Q46" s="73"/>
      <c r="S46" s="213" t="s">
        <v>734</v>
      </c>
    </row>
    <row r="47" spans="2:19" ht="17" x14ac:dyDescent="0.25">
      <c r="B47" s="154"/>
      <c r="J47" s="181"/>
      <c r="N47" s="148"/>
      <c r="O47" s="73" t="s">
        <v>28</v>
      </c>
      <c r="P47" s="73" t="s">
        <v>57</v>
      </c>
      <c r="Q47" s="73"/>
      <c r="S47" s="213">
        <v>-1.2999999999999999E-2</v>
      </c>
    </row>
    <row r="48" spans="2:19" ht="17" x14ac:dyDescent="0.25">
      <c r="B48" s="154"/>
      <c r="J48" s="181"/>
      <c r="N48" s="148" t="s">
        <v>402</v>
      </c>
      <c r="O48" s="73" t="s">
        <v>631</v>
      </c>
      <c r="P48" s="73" t="s">
        <v>632</v>
      </c>
      <c r="Q48" s="70" t="s">
        <v>616</v>
      </c>
      <c r="R48" s="70"/>
      <c r="S48" s="213" t="s">
        <v>735</v>
      </c>
    </row>
    <row r="49" spans="2:19" ht="17" x14ac:dyDescent="0.25">
      <c r="B49" s="154"/>
      <c r="J49" s="181"/>
      <c r="N49" s="149"/>
      <c r="O49" s="74" t="s">
        <v>633</v>
      </c>
      <c r="P49" s="74" t="s">
        <v>30</v>
      </c>
      <c r="S49" s="213">
        <v>-0.183</v>
      </c>
    </row>
    <row r="50" spans="2:19" ht="17" x14ac:dyDescent="0.25">
      <c r="B50" s="154"/>
      <c r="J50" s="181"/>
      <c r="N50" s="116" t="s">
        <v>335</v>
      </c>
      <c r="O50" s="73" t="s">
        <v>336</v>
      </c>
      <c r="P50" s="73" t="s">
        <v>336</v>
      </c>
      <c r="S50" s="213" t="s">
        <v>736</v>
      </c>
    </row>
    <row r="51" spans="2:19" ht="17" x14ac:dyDescent="0.25">
      <c r="B51" s="154"/>
      <c r="J51" s="181"/>
      <c r="N51" s="116" t="s">
        <v>337</v>
      </c>
      <c r="O51" s="73" t="s">
        <v>336</v>
      </c>
      <c r="P51" s="73" t="s">
        <v>336</v>
      </c>
      <c r="S51" s="213">
        <v>-0.17499999999999999</v>
      </c>
    </row>
    <row r="52" spans="2:19" ht="17" x14ac:dyDescent="0.25">
      <c r="B52" s="154"/>
      <c r="J52" s="181"/>
      <c r="N52" s="116" t="s">
        <v>338</v>
      </c>
      <c r="O52" s="73" t="s">
        <v>336</v>
      </c>
      <c r="P52" s="73" t="s">
        <v>336</v>
      </c>
      <c r="S52" s="213" t="s">
        <v>732</v>
      </c>
    </row>
    <row r="53" spans="2:19" ht="17" x14ac:dyDescent="0.25">
      <c r="B53" s="154"/>
      <c r="J53" s="181"/>
      <c r="N53" s="117" t="s">
        <v>339</v>
      </c>
      <c r="O53" s="74" t="s">
        <v>635</v>
      </c>
      <c r="P53" s="74" t="s">
        <v>634</v>
      </c>
      <c r="Q53" s="111"/>
      <c r="S53" s="213" t="s">
        <v>737</v>
      </c>
    </row>
    <row r="54" spans="2:19" ht="17" x14ac:dyDescent="0.25">
      <c r="B54" s="154"/>
      <c r="J54" s="181"/>
      <c r="S54" s="213" t="s">
        <v>738</v>
      </c>
    </row>
    <row r="55" spans="2:19" ht="17" x14ac:dyDescent="0.25">
      <c r="B55" s="154"/>
      <c r="J55" s="181"/>
      <c r="S55" s="213" t="s">
        <v>739</v>
      </c>
    </row>
    <row r="56" spans="2:19" ht="17" x14ac:dyDescent="0.25">
      <c r="B56" s="154"/>
      <c r="J56" s="181"/>
      <c r="S56" s="213" t="s">
        <v>740</v>
      </c>
    </row>
    <row r="57" spans="2:19" ht="17" x14ac:dyDescent="0.25">
      <c r="B57" s="154"/>
      <c r="J57" s="181"/>
      <c r="S57" s="213" t="s">
        <v>741</v>
      </c>
    </row>
    <row r="58" spans="2:19" ht="17" x14ac:dyDescent="0.25">
      <c r="B58" s="154"/>
      <c r="J58" s="181"/>
      <c r="S58" s="213" t="s">
        <v>730</v>
      </c>
    </row>
    <row r="59" spans="2:19" ht="17" x14ac:dyDescent="0.25">
      <c r="B59" s="154"/>
      <c r="J59" s="181"/>
      <c r="S59" s="213" t="s">
        <v>588</v>
      </c>
    </row>
    <row r="60" spans="2:19" ht="23" customHeight="1" x14ac:dyDescent="0.2">
      <c r="B60" s="154" t="s">
        <v>454</v>
      </c>
      <c r="D60" s="40" t="s">
        <v>418</v>
      </c>
      <c r="M60" s="111"/>
      <c r="N60" s="195" t="s">
        <v>638</v>
      </c>
      <c r="O60" s="111"/>
      <c r="P60" s="111"/>
      <c r="Q60" s="111"/>
      <c r="R60" s="111"/>
    </row>
    <row r="61" spans="2:19" ht="22" customHeight="1" x14ac:dyDescent="0.2">
      <c r="B61" s="154"/>
      <c r="D61" s="184"/>
      <c r="E61" s="150" t="s">
        <v>404</v>
      </c>
      <c r="F61" s="150"/>
      <c r="G61" s="48" t="s">
        <v>405</v>
      </c>
      <c r="H61" s="48" t="s">
        <v>406</v>
      </c>
      <c r="I61" s="48" t="s">
        <v>407</v>
      </c>
      <c r="M61" s="111"/>
      <c r="N61" s="196"/>
      <c r="O61" s="196" t="s">
        <v>404</v>
      </c>
      <c r="P61" s="196"/>
      <c r="Q61" s="111"/>
      <c r="R61" s="111"/>
    </row>
    <row r="62" spans="2:19" ht="22" customHeight="1" x14ac:dyDescent="0.2">
      <c r="B62" s="154"/>
      <c r="D62" s="185"/>
      <c r="E62" s="50" t="s">
        <v>340</v>
      </c>
      <c r="F62" s="50" t="s">
        <v>341</v>
      </c>
      <c r="G62" s="50" t="s">
        <v>342</v>
      </c>
      <c r="H62" s="51" t="s">
        <v>343</v>
      </c>
      <c r="I62" s="51" t="s">
        <v>417</v>
      </c>
      <c r="M62" s="111"/>
      <c r="N62" s="197"/>
      <c r="O62" s="198" t="s">
        <v>340</v>
      </c>
      <c r="P62" s="198" t="s">
        <v>341</v>
      </c>
      <c r="Q62" s="111"/>
      <c r="R62" s="111"/>
    </row>
    <row r="63" spans="2:19" ht="26" customHeight="1" x14ac:dyDescent="0.2">
      <c r="B63" s="154"/>
      <c r="D63" s="185"/>
      <c r="E63" s="151" t="s">
        <v>408</v>
      </c>
      <c r="F63" s="151"/>
      <c r="G63" s="151" t="s">
        <v>409</v>
      </c>
      <c r="H63" s="151"/>
      <c r="I63" s="151"/>
      <c r="M63" s="111"/>
      <c r="N63" s="197"/>
      <c r="O63" s="147" t="s">
        <v>400</v>
      </c>
      <c r="P63" s="147"/>
      <c r="Q63" s="111"/>
      <c r="R63" s="111"/>
    </row>
    <row r="64" spans="2:19" ht="26" customHeight="1" x14ac:dyDescent="0.2">
      <c r="B64" s="154"/>
      <c r="D64" s="186" t="s">
        <v>334</v>
      </c>
      <c r="E64" s="44" t="s">
        <v>67</v>
      </c>
      <c r="F64" s="44" t="s">
        <v>646</v>
      </c>
      <c r="G64" s="44" t="s">
        <v>649</v>
      </c>
      <c r="H64" s="44" t="s">
        <v>655</v>
      </c>
      <c r="I64" s="44" t="s">
        <v>655</v>
      </c>
      <c r="M64" s="111"/>
      <c r="N64" s="182" t="s">
        <v>334</v>
      </c>
      <c r="O64" s="199" t="s">
        <v>387</v>
      </c>
      <c r="P64" s="199" t="s">
        <v>639</v>
      </c>
      <c r="Q64" s="111"/>
      <c r="R64" s="111"/>
    </row>
    <row r="65" spans="2:18" ht="26" customHeight="1" x14ac:dyDescent="0.2">
      <c r="B65" s="154"/>
      <c r="D65" s="186"/>
      <c r="E65" s="44" t="s">
        <v>30</v>
      </c>
      <c r="F65" s="44" t="s">
        <v>647</v>
      </c>
      <c r="G65" s="44" t="s">
        <v>650</v>
      </c>
      <c r="H65" s="44" t="s">
        <v>656</v>
      </c>
      <c r="I65" s="44" t="s">
        <v>656</v>
      </c>
      <c r="M65" s="111"/>
      <c r="N65" s="182"/>
      <c r="O65" s="199" t="s">
        <v>88</v>
      </c>
      <c r="P65" s="199" t="s">
        <v>642</v>
      </c>
      <c r="Q65" s="111"/>
      <c r="R65" s="111"/>
    </row>
    <row r="66" spans="2:18" ht="22" customHeight="1" x14ac:dyDescent="0.2">
      <c r="B66" s="154"/>
      <c r="D66" s="186" t="s">
        <v>401</v>
      </c>
      <c r="E66" s="44" t="s">
        <v>76</v>
      </c>
      <c r="F66" s="44" t="s">
        <v>648</v>
      </c>
      <c r="G66" s="44" t="s">
        <v>652</v>
      </c>
      <c r="H66" s="44" t="s">
        <v>651</v>
      </c>
      <c r="I66" s="44" t="s">
        <v>651</v>
      </c>
      <c r="M66" s="111"/>
      <c r="N66" s="182" t="s">
        <v>401</v>
      </c>
      <c r="O66" s="73" t="s">
        <v>384</v>
      </c>
      <c r="P66" s="73" t="s">
        <v>384</v>
      </c>
      <c r="Q66" s="111"/>
      <c r="R66" s="111"/>
    </row>
    <row r="67" spans="2:18" ht="22" customHeight="1" x14ac:dyDescent="0.2">
      <c r="B67" s="154"/>
      <c r="D67" s="186"/>
      <c r="E67" s="44" t="s">
        <v>26</v>
      </c>
      <c r="F67" s="44" t="s">
        <v>26</v>
      </c>
      <c r="G67" s="44" t="s">
        <v>99</v>
      </c>
      <c r="H67" s="44" t="s">
        <v>217</v>
      </c>
      <c r="I67" s="44" t="s">
        <v>217</v>
      </c>
      <c r="M67" s="111"/>
      <c r="N67" s="182"/>
      <c r="O67" s="73" t="s">
        <v>16</v>
      </c>
      <c r="P67" s="73" t="s">
        <v>65</v>
      </c>
      <c r="Q67" s="111"/>
      <c r="R67" s="111"/>
    </row>
    <row r="68" spans="2:18" ht="22" customHeight="1" x14ac:dyDescent="0.2">
      <c r="B68" s="154"/>
      <c r="D68" s="186" t="s">
        <v>402</v>
      </c>
      <c r="E68" s="44" t="s">
        <v>80</v>
      </c>
      <c r="F68" s="44" t="s">
        <v>69</v>
      </c>
      <c r="G68" s="44" t="s">
        <v>653</v>
      </c>
      <c r="H68" s="44" t="s">
        <v>653</v>
      </c>
      <c r="I68" s="44" t="s">
        <v>653</v>
      </c>
      <c r="M68" s="111"/>
      <c r="N68" s="209" t="s">
        <v>402</v>
      </c>
      <c r="O68" s="210" t="s">
        <v>385</v>
      </c>
      <c r="P68" s="210" t="s">
        <v>640</v>
      </c>
      <c r="Q68" s="111"/>
      <c r="R68" s="111"/>
    </row>
    <row r="69" spans="2:18" ht="22" customHeight="1" x14ac:dyDescent="0.2">
      <c r="B69" s="154"/>
      <c r="D69" s="187"/>
      <c r="E69" s="45" t="s">
        <v>85</v>
      </c>
      <c r="F69" s="45" t="s">
        <v>116</v>
      </c>
      <c r="G69" s="45" t="s">
        <v>654</v>
      </c>
      <c r="H69" s="45" t="s">
        <v>657</v>
      </c>
      <c r="I69" s="45" t="s">
        <v>657</v>
      </c>
      <c r="M69" s="111"/>
      <c r="N69" s="183"/>
      <c r="O69" s="74" t="s">
        <v>99</v>
      </c>
      <c r="P69" s="74" t="s">
        <v>641</v>
      </c>
      <c r="Q69" s="111"/>
      <c r="R69" s="111"/>
    </row>
    <row r="70" spans="2:18" ht="22" customHeight="1" x14ac:dyDescent="0.2">
      <c r="B70" s="154"/>
      <c r="D70" s="188" t="s">
        <v>410</v>
      </c>
      <c r="E70" s="50" t="s">
        <v>336</v>
      </c>
      <c r="F70" s="50" t="s">
        <v>336</v>
      </c>
      <c r="G70" s="50" t="s">
        <v>336</v>
      </c>
      <c r="H70" s="50" t="s">
        <v>336</v>
      </c>
      <c r="I70" s="50" t="s">
        <v>336</v>
      </c>
      <c r="M70" s="111"/>
      <c r="N70" s="200" t="s">
        <v>410</v>
      </c>
      <c r="O70" s="198" t="s">
        <v>336</v>
      </c>
      <c r="P70" s="198" t="s">
        <v>336</v>
      </c>
      <c r="Q70" s="111"/>
      <c r="R70" s="111"/>
    </row>
    <row r="71" spans="2:18" ht="22" customHeight="1" x14ac:dyDescent="0.2">
      <c r="B71" s="154"/>
      <c r="D71" s="188" t="s">
        <v>338</v>
      </c>
      <c r="E71" s="50" t="s">
        <v>336</v>
      </c>
      <c r="F71" s="50" t="s">
        <v>336</v>
      </c>
      <c r="G71" s="50" t="s">
        <v>336</v>
      </c>
      <c r="H71" s="50" t="s">
        <v>336</v>
      </c>
      <c r="I71" s="50" t="s">
        <v>336</v>
      </c>
      <c r="M71" s="111"/>
      <c r="N71" s="200" t="s">
        <v>338</v>
      </c>
      <c r="O71" s="198" t="s">
        <v>336</v>
      </c>
      <c r="P71" s="198" t="s">
        <v>336</v>
      </c>
      <c r="Q71" s="111"/>
      <c r="R71" s="111"/>
    </row>
    <row r="72" spans="2:18" ht="22" customHeight="1" x14ac:dyDescent="0.2">
      <c r="B72" s="154"/>
      <c r="D72" s="189" t="s">
        <v>411</v>
      </c>
      <c r="E72" s="54"/>
      <c r="F72" s="55" t="s">
        <v>336</v>
      </c>
      <c r="G72" s="54"/>
      <c r="H72" s="54"/>
      <c r="I72" s="54"/>
      <c r="M72" s="111"/>
      <c r="N72" s="117" t="s">
        <v>411</v>
      </c>
      <c r="O72" s="74"/>
      <c r="P72" s="78" t="s">
        <v>336</v>
      </c>
      <c r="Q72" s="111"/>
      <c r="R72" s="111"/>
    </row>
    <row r="73" spans="2:18" ht="22" customHeight="1" x14ac:dyDescent="0.2">
      <c r="B73" s="154"/>
      <c r="D73" s="190" t="s">
        <v>339</v>
      </c>
      <c r="E73" s="56">
        <v>3603</v>
      </c>
      <c r="F73" s="56">
        <v>3603</v>
      </c>
      <c r="G73" s="56">
        <v>3603</v>
      </c>
      <c r="H73" s="56">
        <v>3603</v>
      </c>
      <c r="I73" s="56">
        <v>3603</v>
      </c>
      <c r="M73" s="111"/>
      <c r="N73" s="116" t="s">
        <v>339</v>
      </c>
      <c r="O73" s="198" t="s">
        <v>386</v>
      </c>
      <c r="P73" s="198" t="s">
        <v>386</v>
      </c>
      <c r="Q73" s="111"/>
      <c r="R73" s="111"/>
    </row>
    <row r="74" spans="2:18" ht="22" customHeight="1" x14ac:dyDescent="0.2">
      <c r="B74" s="154"/>
      <c r="D74" s="190" t="s">
        <v>412</v>
      </c>
      <c r="E74" s="57"/>
      <c r="F74" s="49">
        <v>2730.6759999999999</v>
      </c>
      <c r="G74" s="57"/>
      <c r="H74" s="49">
        <v>10115.514999999999</v>
      </c>
      <c r="I74" s="49">
        <v>10117.514999999999</v>
      </c>
      <c r="M74" s="111"/>
      <c r="N74" s="116" t="s">
        <v>412</v>
      </c>
      <c r="O74" s="201"/>
      <c r="P74" s="73" t="s">
        <v>643</v>
      </c>
      <c r="Q74" s="111"/>
      <c r="R74" s="111"/>
    </row>
    <row r="75" spans="2:18" ht="22" customHeight="1" x14ac:dyDescent="0.2">
      <c r="B75" s="154"/>
      <c r="D75" s="190" t="s">
        <v>413</v>
      </c>
      <c r="E75" s="57"/>
      <c r="F75" s="49">
        <v>3912.875</v>
      </c>
      <c r="G75" s="57"/>
      <c r="H75" s="57"/>
      <c r="I75" s="57"/>
      <c r="M75" s="111"/>
      <c r="N75" s="116" t="s">
        <v>413</v>
      </c>
      <c r="O75" s="201"/>
      <c r="P75" s="73" t="s">
        <v>644</v>
      </c>
      <c r="Q75" s="111"/>
      <c r="R75" s="111"/>
    </row>
    <row r="76" spans="2:18" ht="22" customHeight="1" x14ac:dyDescent="0.2">
      <c r="B76" s="154"/>
      <c r="D76" s="190" t="s">
        <v>414</v>
      </c>
      <c r="E76" s="57"/>
      <c r="F76" s="49">
        <v>-1174.338</v>
      </c>
      <c r="G76" s="49">
        <v>-4869.7579999999998</v>
      </c>
      <c r="H76" s="49">
        <v>-4869.7579999999998</v>
      </c>
      <c r="I76" s="49">
        <v>-4869.7579999999998</v>
      </c>
      <c r="M76" s="111"/>
      <c r="N76" s="117" t="s">
        <v>414</v>
      </c>
      <c r="O76" s="211"/>
      <c r="P76" s="74" t="s">
        <v>645</v>
      </c>
      <c r="Q76" s="111"/>
      <c r="R76" s="111"/>
    </row>
    <row r="77" spans="2:18" ht="22" customHeight="1" x14ac:dyDescent="0.2">
      <c r="B77" s="154"/>
      <c r="D77" s="190" t="s">
        <v>415</v>
      </c>
      <c r="E77" s="57"/>
      <c r="F77" s="57"/>
      <c r="G77" s="49">
        <v>3545.797</v>
      </c>
      <c r="H77" s="57"/>
      <c r="I77" s="57"/>
      <c r="M77" s="111"/>
      <c r="N77" s="202"/>
      <c r="O77" s="203"/>
      <c r="P77" s="203"/>
      <c r="Q77" s="111"/>
      <c r="R77" s="111"/>
    </row>
    <row r="78" spans="2:18" ht="22" customHeight="1" x14ac:dyDescent="0.2">
      <c r="B78" s="154"/>
      <c r="D78" s="189" t="s">
        <v>416</v>
      </c>
      <c r="E78" s="54"/>
      <c r="F78" s="54"/>
      <c r="G78" s="54">
        <v>1.4E-2</v>
      </c>
      <c r="H78" s="54"/>
      <c r="I78" s="54"/>
      <c r="M78" s="111"/>
      <c r="Q78" s="111"/>
      <c r="R78" s="111"/>
    </row>
    <row r="79" spans="2:18" ht="22" customHeight="1" x14ac:dyDescent="0.2">
      <c r="B79" s="154"/>
      <c r="D79" s="190"/>
      <c r="E79" s="49"/>
      <c r="F79" s="49"/>
      <c r="G79" s="49"/>
      <c r="H79" s="49"/>
      <c r="I79" s="49"/>
    </row>
    <row r="80" spans="2:18" ht="22" customHeight="1" x14ac:dyDescent="0.2">
      <c r="B80" s="154"/>
      <c r="D80" s="190"/>
      <c r="E80" s="49"/>
      <c r="F80" s="49"/>
      <c r="G80" s="49"/>
      <c r="H80" s="49"/>
      <c r="I80" s="49"/>
    </row>
    <row r="81" spans="2:17" ht="22" customHeight="1" x14ac:dyDescent="0.2">
      <c r="B81" s="154"/>
      <c r="D81" s="191"/>
    </row>
    <row r="82" spans="2:17" ht="22" customHeight="1" x14ac:dyDescent="0.2">
      <c r="B82" s="154"/>
      <c r="D82" s="192" t="s">
        <v>428</v>
      </c>
    </row>
    <row r="83" spans="2:17" ht="22" customHeight="1" x14ac:dyDescent="0.2">
      <c r="B83" s="154"/>
      <c r="D83" s="184"/>
      <c r="E83" s="42" t="s">
        <v>340</v>
      </c>
      <c r="F83" s="42" t="s">
        <v>341</v>
      </c>
      <c r="G83" s="42" t="s">
        <v>342</v>
      </c>
      <c r="H83" s="42" t="s">
        <v>343</v>
      </c>
      <c r="I83" s="42" t="s">
        <v>417</v>
      </c>
      <c r="J83" s="42" t="s">
        <v>426</v>
      </c>
      <c r="K83" s="42" t="s">
        <v>427</v>
      </c>
      <c r="N83" s="196"/>
      <c r="O83" s="71" t="s">
        <v>340</v>
      </c>
      <c r="P83" s="71" t="s">
        <v>341</v>
      </c>
      <c r="Q83" s="71" t="s">
        <v>342</v>
      </c>
    </row>
    <row r="84" spans="2:17" ht="22" customHeight="1" x14ac:dyDescent="0.2">
      <c r="B84" s="154"/>
      <c r="D84" s="185"/>
      <c r="E84" s="133" t="s">
        <v>420</v>
      </c>
      <c r="F84" s="133" t="s">
        <v>421</v>
      </c>
      <c r="G84" s="133"/>
      <c r="H84" s="133"/>
      <c r="I84" s="133" t="s">
        <v>422</v>
      </c>
      <c r="J84" s="133"/>
      <c r="K84" s="133"/>
      <c r="N84" s="197"/>
      <c r="O84" s="205" t="s">
        <v>422</v>
      </c>
      <c r="P84" s="205"/>
      <c r="Q84" s="205"/>
    </row>
    <row r="85" spans="2:17" ht="22" customHeight="1" x14ac:dyDescent="0.2">
      <c r="B85" s="154"/>
      <c r="D85" s="185"/>
      <c r="E85" s="151"/>
      <c r="F85" s="52" t="s">
        <v>423</v>
      </c>
      <c r="G85" s="52" t="s">
        <v>424</v>
      </c>
      <c r="H85" s="52" t="s">
        <v>425</v>
      </c>
      <c r="I85" s="59"/>
      <c r="J85" s="59"/>
      <c r="K85" s="59"/>
      <c r="N85" s="197"/>
      <c r="O85" s="206" t="s">
        <v>724</v>
      </c>
      <c r="P85" s="206" t="s">
        <v>725</v>
      </c>
      <c r="Q85" s="206" t="s">
        <v>726</v>
      </c>
    </row>
    <row r="86" spans="2:17" ht="22" customHeight="1" x14ac:dyDescent="0.2">
      <c r="B86" s="154"/>
      <c r="D86" s="186" t="s">
        <v>334</v>
      </c>
      <c r="E86" s="44" t="s">
        <v>658</v>
      </c>
      <c r="F86" s="44" t="s">
        <v>659</v>
      </c>
      <c r="G86" s="44" t="s">
        <v>67</v>
      </c>
      <c r="H86" s="44" t="s">
        <v>660</v>
      </c>
      <c r="I86" s="44" t="s">
        <v>692</v>
      </c>
      <c r="J86" s="44" t="s">
        <v>693</v>
      </c>
      <c r="K86" s="44" t="s">
        <v>694</v>
      </c>
      <c r="N86" s="182" t="s">
        <v>334</v>
      </c>
      <c r="O86" s="73" t="s">
        <v>531</v>
      </c>
      <c r="P86" s="73" t="s">
        <v>709</v>
      </c>
      <c r="Q86" s="73" t="s">
        <v>710</v>
      </c>
    </row>
    <row r="87" spans="2:17" ht="22" customHeight="1" x14ac:dyDescent="0.2">
      <c r="B87" s="154"/>
      <c r="D87" s="186"/>
      <c r="E87" s="44" t="s">
        <v>665</v>
      </c>
      <c r="F87" s="44" t="s">
        <v>647</v>
      </c>
      <c r="G87" s="44" t="s">
        <v>17</v>
      </c>
      <c r="H87" s="44" t="s">
        <v>666</v>
      </c>
      <c r="I87" s="44" t="s">
        <v>695</v>
      </c>
      <c r="J87" s="44" t="s">
        <v>74</v>
      </c>
      <c r="K87" s="44" t="s">
        <v>696</v>
      </c>
      <c r="N87" s="182"/>
      <c r="O87" s="73" t="s">
        <v>697</v>
      </c>
      <c r="P87" s="73" t="s">
        <v>143</v>
      </c>
      <c r="Q87" s="73" t="s">
        <v>711</v>
      </c>
    </row>
    <row r="88" spans="2:17" ht="22" customHeight="1" x14ac:dyDescent="0.2">
      <c r="B88" s="154"/>
      <c r="D88" s="186" t="s">
        <v>401</v>
      </c>
      <c r="E88" s="44" t="s">
        <v>671</v>
      </c>
      <c r="F88" s="44" t="s">
        <v>672</v>
      </c>
      <c r="G88" s="44" t="s">
        <v>76</v>
      </c>
      <c r="H88" s="44" t="s">
        <v>673</v>
      </c>
      <c r="I88" s="44" t="s">
        <v>698</v>
      </c>
      <c r="J88" s="44" t="s">
        <v>699</v>
      </c>
      <c r="K88" s="44" t="s">
        <v>76</v>
      </c>
      <c r="N88" s="182" t="s">
        <v>401</v>
      </c>
      <c r="O88" s="73" t="s">
        <v>630</v>
      </c>
      <c r="P88" s="73" t="s">
        <v>123</v>
      </c>
      <c r="Q88" s="73" t="s">
        <v>669</v>
      </c>
    </row>
    <row r="89" spans="2:17" ht="22" customHeight="1" x14ac:dyDescent="0.2">
      <c r="B89" s="154"/>
      <c r="D89" s="186"/>
      <c r="E89" s="44" t="s">
        <v>222</v>
      </c>
      <c r="F89" s="44" t="s">
        <v>26</v>
      </c>
      <c r="G89" s="44" t="s">
        <v>26</v>
      </c>
      <c r="H89" s="44" t="s">
        <v>448</v>
      </c>
      <c r="I89" s="44" t="s">
        <v>298</v>
      </c>
      <c r="J89" s="44" t="s">
        <v>57</v>
      </c>
      <c r="K89" s="44" t="s">
        <v>224</v>
      </c>
      <c r="N89" s="182"/>
      <c r="O89" s="73" t="s">
        <v>28</v>
      </c>
      <c r="P89" s="73" t="s">
        <v>448</v>
      </c>
      <c r="Q89" s="73" t="s">
        <v>448</v>
      </c>
    </row>
    <row r="90" spans="2:17" ht="22" customHeight="1" x14ac:dyDescent="0.2">
      <c r="B90" s="154"/>
      <c r="D90" s="186" t="s">
        <v>402</v>
      </c>
      <c r="E90" s="44" t="s">
        <v>56</v>
      </c>
      <c r="F90" s="44" t="s">
        <v>675</v>
      </c>
      <c r="G90" s="44" t="s">
        <v>80</v>
      </c>
      <c r="H90" s="44" t="s">
        <v>676</v>
      </c>
      <c r="I90" s="44" t="s">
        <v>82</v>
      </c>
      <c r="J90" s="44" t="s">
        <v>71</v>
      </c>
      <c r="K90" s="44" t="s">
        <v>667</v>
      </c>
      <c r="N90" s="182" t="s">
        <v>402</v>
      </c>
      <c r="O90" s="73" t="s">
        <v>712</v>
      </c>
      <c r="P90" s="73" t="s">
        <v>713</v>
      </c>
      <c r="Q90" s="73" t="s">
        <v>714</v>
      </c>
    </row>
    <row r="91" spans="2:17" ht="22" customHeight="1" x14ac:dyDescent="0.2">
      <c r="B91" s="154"/>
      <c r="D91" s="187"/>
      <c r="E91" s="45" t="s">
        <v>226</v>
      </c>
      <c r="F91" s="45" t="s">
        <v>116</v>
      </c>
      <c r="G91" s="45" t="s">
        <v>85</v>
      </c>
      <c r="H91" s="45" t="s">
        <v>116</v>
      </c>
      <c r="I91" s="45" t="s">
        <v>207</v>
      </c>
      <c r="J91" s="45" t="s">
        <v>143</v>
      </c>
      <c r="K91" s="45" t="s">
        <v>668</v>
      </c>
      <c r="N91" s="183"/>
      <c r="O91" s="74" t="s">
        <v>163</v>
      </c>
      <c r="P91" s="74" t="s">
        <v>60</v>
      </c>
      <c r="Q91" s="74" t="s">
        <v>18</v>
      </c>
    </row>
    <row r="92" spans="2:17" ht="22" customHeight="1" x14ac:dyDescent="0.2">
      <c r="B92" s="154"/>
      <c r="D92" s="193" t="s">
        <v>338</v>
      </c>
      <c r="E92" s="48" t="s">
        <v>336</v>
      </c>
      <c r="F92" s="48" t="s">
        <v>336</v>
      </c>
      <c r="G92" s="48" t="s">
        <v>336</v>
      </c>
      <c r="H92" s="48" t="s">
        <v>336</v>
      </c>
      <c r="I92" s="48" t="s">
        <v>336</v>
      </c>
      <c r="J92" s="48" t="s">
        <v>336</v>
      </c>
      <c r="K92" s="48" t="s">
        <v>336</v>
      </c>
      <c r="N92" s="200" t="s">
        <v>410</v>
      </c>
      <c r="O92" s="207" t="s">
        <v>336</v>
      </c>
      <c r="P92" s="207" t="s">
        <v>336</v>
      </c>
      <c r="Q92" s="207" t="s">
        <v>336</v>
      </c>
    </row>
    <row r="93" spans="2:17" ht="22" customHeight="1" x14ac:dyDescent="0.2">
      <c r="B93" s="154"/>
      <c r="D93" s="194" t="s">
        <v>410</v>
      </c>
      <c r="E93" s="54" t="s">
        <v>336</v>
      </c>
      <c r="F93" s="54" t="s">
        <v>336</v>
      </c>
      <c r="G93" s="54" t="s">
        <v>336</v>
      </c>
      <c r="H93" s="54" t="s">
        <v>336</v>
      </c>
      <c r="I93" s="54" t="s">
        <v>336</v>
      </c>
      <c r="J93" s="54" t="s">
        <v>336</v>
      </c>
      <c r="K93" s="54" t="s">
        <v>336</v>
      </c>
      <c r="N93" s="212" t="s">
        <v>338</v>
      </c>
      <c r="O93" s="204" t="s">
        <v>336</v>
      </c>
      <c r="P93" s="204" t="s">
        <v>336</v>
      </c>
      <c r="Q93" s="204" t="s">
        <v>336</v>
      </c>
    </row>
    <row r="94" spans="2:17" ht="22" customHeight="1" x14ac:dyDescent="0.2">
      <c r="B94" s="154"/>
      <c r="D94" s="60" t="s">
        <v>339</v>
      </c>
      <c r="E94" s="61">
        <v>3603</v>
      </c>
      <c r="F94" s="61">
        <v>3603</v>
      </c>
      <c r="G94" s="61">
        <v>3603</v>
      </c>
      <c r="H94" s="61">
        <v>3603</v>
      </c>
      <c r="I94" s="54" t="s">
        <v>700</v>
      </c>
      <c r="J94" s="62">
        <v>1599</v>
      </c>
      <c r="K94" s="62">
        <v>2405</v>
      </c>
      <c r="N94" s="117" t="s">
        <v>339</v>
      </c>
      <c r="O94" s="204" t="s">
        <v>715</v>
      </c>
      <c r="P94" s="208">
        <v>1218</v>
      </c>
      <c r="Q94" s="208">
        <v>1844</v>
      </c>
    </row>
    <row r="95" spans="2:17" ht="22" customHeight="1" x14ac:dyDescent="0.2">
      <c r="B95" s="154"/>
    </row>
    <row r="96" spans="2:17" ht="22" customHeight="1" x14ac:dyDescent="0.2">
      <c r="B96" s="154"/>
    </row>
    <row r="97" spans="2:15" ht="22" customHeight="1" x14ac:dyDescent="0.2">
      <c r="B97" s="154"/>
    </row>
    <row r="98" spans="2:15" ht="22" customHeight="1" x14ac:dyDescent="0.2">
      <c r="B98" s="154"/>
      <c r="K98" s="58" t="s">
        <v>441</v>
      </c>
    </row>
    <row r="99" spans="2:15" ht="22" customHeight="1" x14ac:dyDescent="0.2">
      <c r="B99" s="154"/>
      <c r="K99" s="63"/>
      <c r="L99" s="42" t="s">
        <v>340</v>
      </c>
      <c r="M99" s="71" t="s">
        <v>341</v>
      </c>
    </row>
    <row r="100" spans="2:15" ht="22" customHeight="1" x14ac:dyDescent="0.2">
      <c r="B100" s="154"/>
      <c r="K100" s="50"/>
      <c r="L100" s="55" t="s">
        <v>429</v>
      </c>
      <c r="M100" s="77" t="s">
        <v>433</v>
      </c>
    </row>
    <row r="101" spans="2:15" ht="22" customHeight="1" x14ac:dyDescent="0.2">
      <c r="B101" s="154"/>
      <c r="K101" s="134" t="s">
        <v>431</v>
      </c>
      <c r="L101" s="50">
        <v>-2.1999999999999999E-2</v>
      </c>
      <c r="M101" s="75"/>
    </row>
    <row r="102" spans="2:15" ht="22" customHeight="1" x14ac:dyDescent="0.2">
      <c r="B102" s="154"/>
      <c r="K102" s="135"/>
      <c r="L102" s="64" t="s">
        <v>224</v>
      </c>
      <c r="M102" s="78"/>
    </row>
    <row r="103" spans="2:15" ht="22" customHeight="1" x14ac:dyDescent="0.2">
      <c r="B103" s="154"/>
      <c r="K103" s="53" t="s">
        <v>432</v>
      </c>
      <c r="L103" s="50" t="s">
        <v>336</v>
      </c>
      <c r="M103" s="75" t="s">
        <v>336</v>
      </c>
    </row>
    <row r="104" spans="2:15" ht="22" customHeight="1" x14ac:dyDescent="0.2">
      <c r="B104" s="154"/>
      <c r="K104" s="60" t="s">
        <v>410</v>
      </c>
      <c r="L104" s="55" t="s">
        <v>336</v>
      </c>
      <c r="M104" s="77" t="s">
        <v>336</v>
      </c>
    </row>
    <row r="105" spans="2:15" ht="22" customHeight="1" x14ac:dyDescent="0.2">
      <c r="B105" s="154"/>
      <c r="K105" s="60" t="s">
        <v>339</v>
      </c>
      <c r="L105" s="61">
        <v>5984</v>
      </c>
      <c r="M105" s="76">
        <v>8961</v>
      </c>
    </row>
    <row r="106" spans="2:15" ht="22" customHeight="1" x14ac:dyDescent="0.2">
      <c r="B106" s="154"/>
    </row>
    <row r="107" spans="2:15" ht="22" customHeight="1" x14ac:dyDescent="0.2">
      <c r="B107" s="154"/>
    </row>
    <row r="108" spans="2:15" ht="22" customHeight="1" x14ac:dyDescent="0.2">
      <c r="B108" s="154"/>
    </row>
    <row r="109" spans="2:15" ht="22" customHeight="1" x14ac:dyDescent="0.2">
      <c r="B109" s="154"/>
      <c r="J109" s="58" t="s">
        <v>434</v>
      </c>
    </row>
    <row r="110" spans="2:15" ht="22" customHeight="1" x14ac:dyDescent="0.2">
      <c r="B110" s="154"/>
      <c r="J110" s="136"/>
      <c r="K110" s="138" t="s">
        <v>435</v>
      </c>
      <c r="L110" s="138" t="s">
        <v>439</v>
      </c>
      <c r="M110" s="141" t="s">
        <v>440</v>
      </c>
      <c r="N110" s="141" t="s">
        <v>436</v>
      </c>
      <c r="O110" s="141" t="s">
        <v>437</v>
      </c>
    </row>
    <row r="111" spans="2:15" ht="22" customHeight="1" x14ac:dyDescent="0.2">
      <c r="B111" s="154"/>
      <c r="J111" s="137"/>
      <c r="K111" s="139"/>
      <c r="L111" s="139"/>
      <c r="M111" s="142"/>
      <c r="N111" s="142"/>
      <c r="O111" s="142"/>
    </row>
    <row r="112" spans="2:15" ht="22" customHeight="1" x14ac:dyDescent="0.2">
      <c r="B112" s="154"/>
      <c r="J112" s="66" t="s">
        <v>438</v>
      </c>
      <c r="K112" s="67">
        <v>-4.5999999999999999E-2</v>
      </c>
      <c r="L112" s="67">
        <v>9.2999999999999999E-2</v>
      </c>
      <c r="M112" s="80">
        <v>0.121</v>
      </c>
      <c r="N112" s="80">
        <v>-4.4999999999999998E-2</v>
      </c>
      <c r="O112" s="80">
        <v>39.719000000000001</v>
      </c>
    </row>
    <row r="113" spans="2:15" ht="22" customHeight="1" x14ac:dyDescent="0.2">
      <c r="B113" s="154"/>
      <c r="J113" s="68" t="s">
        <v>430</v>
      </c>
      <c r="K113" s="65">
        <v>-4.5999999999999999E-2</v>
      </c>
      <c r="L113" s="65">
        <v>3.3000000000000002E-2</v>
      </c>
      <c r="M113" s="79">
        <v>4.2999999999999997E-2</v>
      </c>
      <c r="N113" s="79">
        <v>-4.3999999999999997E-2</v>
      </c>
      <c r="O113" s="79">
        <v>26.744</v>
      </c>
    </row>
    <row r="114" spans="2:15" ht="22" customHeight="1" x14ac:dyDescent="0.2">
      <c r="B114" s="154"/>
    </row>
    <row r="115" spans="2:15" ht="22" customHeight="1" x14ac:dyDescent="0.2">
      <c r="B115" s="154"/>
    </row>
  </sheetData>
  <mergeCells count="58">
    <mergeCell ref="O84:Q84"/>
    <mergeCell ref="N83:N85"/>
    <mergeCell ref="N86:N87"/>
    <mergeCell ref="N88:N89"/>
    <mergeCell ref="N90:N91"/>
    <mergeCell ref="O61:P61"/>
    <mergeCell ref="O63:P63"/>
    <mergeCell ref="N68:N69"/>
    <mergeCell ref="D66:D67"/>
    <mergeCell ref="N66:N67"/>
    <mergeCell ref="N64:N65"/>
    <mergeCell ref="D64:D65"/>
    <mergeCell ref="J9:J10"/>
    <mergeCell ref="C2:L2"/>
    <mergeCell ref="M2:R2"/>
    <mergeCell ref="K6:L6"/>
    <mergeCell ref="M6:N6"/>
    <mergeCell ref="J7:J8"/>
    <mergeCell ref="J11:J12"/>
    <mergeCell ref="D61:D63"/>
    <mergeCell ref="E61:F61"/>
    <mergeCell ref="E63:F63"/>
    <mergeCell ref="G63:I63"/>
    <mergeCell ref="D68:D69"/>
    <mergeCell ref="D83:D85"/>
    <mergeCell ref="E84:E85"/>
    <mergeCell ref="F84:H84"/>
    <mergeCell ref="B3:B23"/>
    <mergeCell ref="B24:B59"/>
    <mergeCell ref="B60:B115"/>
    <mergeCell ref="D90:D91"/>
    <mergeCell ref="E28:F28"/>
    <mergeCell ref="D29:D30"/>
    <mergeCell ref="D31:D32"/>
    <mergeCell ref="D33:D34"/>
    <mergeCell ref="D88:D89"/>
    <mergeCell ref="D86:D87"/>
    <mergeCell ref="S2:AA2"/>
    <mergeCell ref="M110:M111"/>
    <mergeCell ref="N110:N111"/>
    <mergeCell ref="O110:O111"/>
    <mergeCell ref="T6:T7"/>
    <mergeCell ref="U6:W6"/>
    <mergeCell ref="T8:T9"/>
    <mergeCell ref="O28:P28"/>
    <mergeCell ref="N29:N30"/>
    <mergeCell ref="N31:N32"/>
    <mergeCell ref="N33:N34"/>
    <mergeCell ref="O43:P43"/>
    <mergeCell ref="N44:N45"/>
    <mergeCell ref="N46:N47"/>
    <mergeCell ref="N48:N49"/>
    <mergeCell ref="N61:N63"/>
    <mergeCell ref="I84:K84"/>
    <mergeCell ref="K101:K102"/>
    <mergeCell ref="J110:J111"/>
    <mergeCell ref="K110:K111"/>
    <mergeCell ref="L110:L111"/>
  </mergeCells>
  <pageMargins left="0.7" right="0.7" top="0.75" bottom="0.75" header="0.3" footer="0.3"/>
  <pageSetup paperSize="9" orientation="portrait" horizontalDpi="0" verticalDpi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C8392-57F3-DA44-A638-CAE1AE9DCA0E}">
  <dimension ref="B2:D11"/>
  <sheetViews>
    <sheetView topLeftCell="A3" zoomScale="140" zoomScaleNormal="140" workbookViewId="0">
      <selection activeCell="D11" sqref="D11"/>
    </sheetView>
  </sheetViews>
  <sheetFormatPr baseColWidth="10" defaultRowHeight="16" x14ac:dyDescent="0.2"/>
  <cols>
    <col min="1" max="1" width="10.83203125" style="26"/>
    <col min="2" max="2" width="21.83203125" style="26" bestFit="1" customWidth="1"/>
    <col min="3" max="3" width="74" style="26" customWidth="1"/>
    <col min="4" max="4" width="88" style="26" customWidth="1"/>
    <col min="5" max="16384" width="10.83203125" style="26"/>
  </cols>
  <sheetData>
    <row r="2" spans="2:4" x14ac:dyDescent="0.2">
      <c r="C2" s="102" t="s">
        <v>471</v>
      </c>
    </row>
    <row r="4" spans="2:4" ht="17" thickBot="1" x14ac:dyDescent="0.25"/>
    <row r="5" spans="2:4" ht="23" thickBot="1" x14ac:dyDescent="0.25">
      <c r="B5" s="27" t="s">
        <v>388</v>
      </c>
      <c r="C5" s="27" t="s">
        <v>389</v>
      </c>
      <c r="D5" s="27" t="s">
        <v>390</v>
      </c>
    </row>
    <row r="6" spans="2:4" ht="22" x14ac:dyDescent="0.2">
      <c r="B6" s="120" t="s">
        <v>391</v>
      </c>
      <c r="C6" s="28" t="s">
        <v>392</v>
      </c>
      <c r="D6" s="28" t="s">
        <v>393</v>
      </c>
    </row>
    <row r="7" spans="2:4" ht="111" thickBot="1" x14ac:dyDescent="0.25">
      <c r="B7" s="121"/>
      <c r="C7" s="101" t="s">
        <v>525</v>
      </c>
      <c r="D7" s="101" t="s">
        <v>555</v>
      </c>
    </row>
    <row r="8" spans="2:4" ht="22" x14ac:dyDescent="0.2">
      <c r="B8" s="120" t="s">
        <v>394</v>
      </c>
      <c r="C8" s="28" t="s">
        <v>398</v>
      </c>
      <c r="D8" s="120" t="s">
        <v>395</v>
      </c>
    </row>
    <row r="9" spans="2:4" ht="89" thickBot="1" x14ac:dyDescent="0.25">
      <c r="B9" s="121"/>
      <c r="C9" s="101" t="s">
        <v>524</v>
      </c>
      <c r="D9" s="121"/>
    </row>
    <row r="10" spans="2:4" ht="22" x14ac:dyDescent="0.2">
      <c r="B10" s="120" t="s">
        <v>396</v>
      </c>
      <c r="C10" s="120" t="s">
        <v>395</v>
      </c>
      <c r="D10" s="28" t="s">
        <v>397</v>
      </c>
    </row>
    <row r="11" spans="2:4" ht="111" thickBot="1" x14ac:dyDescent="0.25">
      <c r="B11" s="121"/>
      <c r="C11" s="121"/>
      <c r="D11" s="101" t="s">
        <v>554</v>
      </c>
    </row>
  </sheetData>
  <mergeCells count="5">
    <mergeCell ref="B6:B7"/>
    <mergeCell ref="B8:B9"/>
    <mergeCell ref="D8:D9"/>
    <mergeCell ref="B10:B11"/>
    <mergeCell ref="C10:C1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7323D-B2F5-BD40-8E81-C2419FFBC224}">
  <dimension ref="B2:I21"/>
  <sheetViews>
    <sheetView zoomScale="120" zoomScaleNormal="120" workbookViewId="0">
      <selection activeCell="I28" sqref="I28"/>
    </sheetView>
  </sheetViews>
  <sheetFormatPr baseColWidth="10" defaultRowHeight="16" x14ac:dyDescent="0.2"/>
  <cols>
    <col min="2" max="2" width="20.1640625" customWidth="1"/>
    <col min="5" max="5" width="13.6640625" bestFit="1" customWidth="1"/>
    <col min="6" max="6" width="13.5" bestFit="1" customWidth="1"/>
    <col min="7" max="7" width="19.83203125" bestFit="1" customWidth="1"/>
    <col min="8" max="8" width="13.5" customWidth="1"/>
    <col min="9" max="9" width="55" customWidth="1"/>
  </cols>
  <sheetData>
    <row r="2" spans="2:9" x14ac:dyDescent="0.2">
      <c r="B2" s="106" t="s">
        <v>472</v>
      </c>
      <c r="C2" s="106" t="s">
        <v>473</v>
      </c>
      <c r="D2" s="106" t="s">
        <v>474</v>
      </c>
      <c r="E2" s="106" t="s">
        <v>475</v>
      </c>
      <c r="F2" s="106" t="s">
        <v>476</v>
      </c>
      <c r="G2" s="106" t="s">
        <v>477</v>
      </c>
      <c r="H2" s="106" t="s">
        <v>478</v>
      </c>
      <c r="I2" s="106" t="s">
        <v>479</v>
      </c>
    </row>
    <row r="3" spans="2:9" x14ac:dyDescent="0.2">
      <c r="B3" s="162" t="s">
        <v>480</v>
      </c>
      <c r="C3" s="161" t="s">
        <v>481</v>
      </c>
      <c r="D3" s="161" t="s">
        <v>482</v>
      </c>
      <c r="E3" s="161" t="s">
        <v>483</v>
      </c>
      <c r="F3" s="161" t="s">
        <v>484</v>
      </c>
      <c r="G3" s="161" t="s">
        <v>485</v>
      </c>
      <c r="H3" s="161" t="s">
        <v>486</v>
      </c>
      <c r="I3" s="103" t="s">
        <v>516</v>
      </c>
    </row>
    <row r="4" spans="2:9" x14ac:dyDescent="0.2">
      <c r="B4" s="162"/>
      <c r="C4" s="161"/>
      <c r="D4" s="161"/>
      <c r="E4" s="161"/>
      <c r="F4" s="161"/>
      <c r="G4" s="161"/>
      <c r="H4" s="161"/>
      <c r="I4" s="103" t="s">
        <v>487</v>
      </c>
    </row>
    <row r="5" spans="2:9" x14ac:dyDescent="0.2">
      <c r="B5" s="104" t="s">
        <v>488</v>
      </c>
      <c r="C5" s="105" t="s">
        <v>481</v>
      </c>
      <c r="D5" s="105" t="s">
        <v>482</v>
      </c>
      <c r="E5" s="105" t="s">
        <v>489</v>
      </c>
      <c r="F5" s="105" t="s">
        <v>484</v>
      </c>
      <c r="G5" s="105" t="s">
        <v>490</v>
      </c>
      <c r="H5" s="105" t="s">
        <v>491</v>
      </c>
      <c r="I5" s="103" t="s">
        <v>492</v>
      </c>
    </row>
    <row r="6" spans="2:9" x14ac:dyDescent="0.2">
      <c r="B6" s="104" t="s">
        <v>493</v>
      </c>
      <c r="C6" s="105" t="s">
        <v>481</v>
      </c>
      <c r="D6" s="105" t="s">
        <v>482</v>
      </c>
      <c r="E6" s="105" t="s">
        <v>489</v>
      </c>
      <c r="F6" s="105" t="s">
        <v>484</v>
      </c>
      <c r="G6" s="105" t="s">
        <v>490</v>
      </c>
      <c r="H6" s="105" t="s">
        <v>491</v>
      </c>
      <c r="I6" s="103" t="s">
        <v>492</v>
      </c>
    </row>
    <row r="7" spans="2:9" x14ac:dyDescent="0.2">
      <c r="B7" s="104" t="s">
        <v>494</v>
      </c>
      <c r="C7" s="105" t="s">
        <v>495</v>
      </c>
      <c r="D7" s="105" t="s">
        <v>482</v>
      </c>
      <c r="E7" s="105" t="s">
        <v>489</v>
      </c>
      <c r="F7" s="105" t="s">
        <v>484</v>
      </c>
      <c r="G7" s="105" t="s">
        <v>490</v>
      </c>
      <c r="H7" s="105" t="s">
        <v>491</v>
      </c>
      <c r="I7" s="103" t="s">
        <v>492</v>
      </c>
    </row>
    <row r="8" spans="2:9" x14ac:dyDescent="0.2">
      <c r="B8" s="162" t="s">
        <v>496</v>
      </c>
      <c r="C8" s="161" t="s">
        <v>495</v>
      </c>
      <c r="D8" s="161" t="s">
        <v>482</v>
      </c>
      <c r="E8" s="161" t="s">
        <v>489</v>
      </c>
      <c r="F8" s="161" t="s">
        <v>484</v>
      </c>
      <c r="G8" s="161" t="s">
        <v>497</v>
      </c>
      <c r="H8" s="161" t="s">
        <v>498</v>
      </c>
      <c r="I8" s="103" t="s">
        <v>517</v>
      </c>
    </row>
    <row r="9" spans="2:9" x14ac:dyDescent="0.2">
      <c r="B9" s="162"/>
      <c r="C9" s="161"/>
      <c r="D9" s="161"/>
      <c r="E9" s="161"/>
      <c r="F9" s="161"/>
      <c r="G9" s="161"/>
      <c r="H9" s="161"/>
      <c r="I9" s="103" t="s">
        <v>518</v>
      </c>
    </row>
    <row r="10" spans="2:9" x14ac:dyDescent="0.2">
      <c r="B10" s="162"/>
      <c r="C10" s="161"/>
      <c r="D10" s="161"/>
      <c r="E10" s="161"/>
      <c r="F10" s="161"/>
      <c r="G10" s="161"/>
      <c r="H10" s="161"/>
      <c r="I10" s="103" t="s">
        <v>499</v>
      </c>
    </row>
    <row r="11" spans="2:9" x14ac:dyDescent="0.2">
      <c r="B11" s="104" t="s">
        <v>500</v>
      </c>
      <c r="C11" s="105" t="s">
        <v>481</v>
      </c>
      <c r="D11" s="105" t="s">
        <v>482</v>
      </c>
      <c r="E11" s="105" t="s">
        <v>489</v>
      </c>
      <c r="F11" s="105" t="s">
        <v>484</v>
      </c>
      <c r="G11" s="105" t="s">
        <v>501</v>
      </c>
      <c r="H11" s="105" t="s">
        <v>502</v>
      </c>
      <c r="I11" s="103" t="s">
        <v>515</v>
      </c>
    </row>
    <row r="12" spans="2:9" x14ac:dyDescent="0.2">
      <c r="B12" s="104" t="s">
        <v>503</v>
      </c>
      <c r="C12" s="105" t="s">
        <v>504</v>
      </c>
      <c r="D12" s="105" t="s">
        <v>505</v>
      </c>
      <c r="E12" s="105" t="s">
        <v>489</v>
      </c>
      <c r="F12" s="105" t="s">
        <v>484</v>
      </c>
      <c r="G12" s="105" t="s">
        <v>501</v>
      </c>
      <c r="H12" s="105" t="s">
        <v>506</v>
      </c>
      <c r="I12" s="103" t="s">
        <v>520</v>
      </c>
    </row>
    <row r="13" spans="2:9" x14ac:dyDescent="0.2">
      <c r="B13" s="104" t="s">
        <v>507</v>
      </c>
      <c r="C13" s="105" t="s">
        <v>481</v>
      </c>
      <c r="D13" s="105" t="s">
        <v>482</v>
      </c>
      <c r="E13" s="105" t="s">
        <v>489</v>
      </c>
      <c r="F13" s="105" t="s">
        <v>484</v>
      </c>
      <c r="G13" s="105" t="s">
        <v>490</v>
      </c>
      <c r="H13" s="105" t="s">
        <v>508</v>
      </c>
      <c r="I13" s="103" t="s">
        <v>519</v>
      </c>
    </row>
    <row r="14" spans="2:9" x14ac:dyDescent="0.2">
      <c r="B14" s="162" t="s">
        <v>509</v>
      </c>
      <c r="C14" s="161" t="s">
        <v>495</v>
      </c>
      <c r="D14" s="161" t="s">
        <v>482</v>
      </c>
      <c r="E14" s="161" t="s">
        <v>489</v>
      </c>
      <c r="F14" s="161" t="s">
        <v>484</v>
      </c>
      <c r="G14" s="161" t="s">
        <v>485</v>
      </c>
      <c r="H14" s="161" t="s">
        <v>502</v>
      </c>
      <c r="I14" s="103" t="s">
        <v>510</v>
      </c>
    </row>
    <row r="15" spans="2:9" x14ac:dyDescent="0.2">
      <c r="B15" s="162"/>
      <c r="C15" s="161"/>
      <c r="D15" s="161"/>
      <c r="E15" s="161"/>
      <c r="F15" s="161"/>
      <c r="G15" s="161"/>
      <c r="H15" s="161"/>
      <c r="I15" s="103" t="s">
        <v>511</v>
      </c>
    </row>
    <row r="16" spans="2:9" x14ac:dyDescent="0.2">
      <c r="B16" s="162" t="s">
        <v>512</v>
      </c>
      <c r="C16" s="161" t="s">
        <v>495</v>
      </c>
      <c r="D16" s="161" t="s">
        <v>482</v>
      </c>
      <c r="E16" s="161" t="s">
        <v>483</v>
      </c>
      <c r="F16" s="161" t="s">
        <v>484</v>
      </c>
      <c r="G16" s="161" t="s">
        <v>497</v>
      </c>
      <c r="H16" s="161" t="s">
        <v>491</v>
      </c>
      <c r="I16" s="103" t="s">
        <v>513</v>
      </c>
    </row>
    <row r="17" spans="2:9" x14ac:dyDescent="0.2">
      <c r="B17" s="162"/>
      <c r="C17" s="161"/>
      <c r="D17" s="161"/>
      <c r="E17" s="161"/>
      <c r="F17" s="161"/>
      <c r="G17" s="161"/>
      <c r="H17" s="161"/>
      <c r="I17" s="103" t="s">
        <v>521</v>
      </c>
    </row>
    <row r="18" spans="2:9" x14ac:dyDescent="0.2">
      <c r="B18" s="162"/>
      <c r="C18" s="161"/>
      <c r="D18" s="161"/>
      <c r="E18" s="161"/>
      <c r="F18" s="161"/>
      <c r="G18" s="161"/>
      <c r="H18" s="161"/>
      <c r="I18" s="103" t="s">
        <v>514</v>
      </c>
    </row>
    <row r="19" spans="2:9" x14ac:dyDescent="0.2">
      <c r="B19" s="163" t="s">
        <v>507</v>
      </c>
      <c r="C19" s="160" t="s">
        <v>481</v>
      </c>
      <c r="D19" s="160" t="s">
        <v>482</v>
      </c>
      <c r="E19" s="160" t="s">
        <v>489</v>
      </c>
      <c r="F19" s="160" t="s">
        <v>484</v>
      </c>
      <c r="G19" s="160" t="s">
        <v>490</v>
      </c>
      <c r="H19" s="160" t="s">
        <v>508</v>
      </c>
      <c r="I19" s="107" t="s">
        <v>522</v>
      </c>
    </row>
    <row r="20" spans="2:9" x14ac:dyDescent="0.2">
      <c r="B20" s="163"/>
      <c r="C20" s="160"/>
      <c r="D20" s="160"/>
      <c r="E20" s="160"/>
      <c r="F20" s="160"/>
      <c r="G20" s="160"/>
      <c r="H20" s="160"/>
      <c r="I20" s="107" t="s">
        <v>523</v>
      </c>
    </row>
    <row r="21" spans="2:9" x14ac:dyDescent="0.2">
      <c r="B21" s="108" t="s">
        <v>500</v>
      </c>
      <c r="C21" s="109" t="s">
        <v>481</v>
      </c>
      <c r="D21" s="109" t="s">
        <v>482</v>
      </c>
      <c r="E21" s="109" t="s">
        <v>489</v>
      </c>
      <c r="F21" s="109" t="s">
        <v>484</v>
      </c>
      <c r="G21" s="109" t="s">
        <v>501</v>
      </c>
      <c r="H21" s="109" t="s">
        <v>502</v>
      </c>
      <c r="I21" s="110" t="s">
        <v>515</v>
      </c>
    </row>
  </sheetData>
  <mergeCells count="35">
    <mergeCell ref="C19:C20"/>
    <mergeCell ref="D19:D20"/>
    <mergeCell ref="E19:E20"/>
    <mergeCell ref="F19:F20"/>
    <mergeCell ref="G19:G20"/>
    <mergeCell ref="H3:H4"/>
    <mergeCell ref="B8:B10"/>
    <mergeCell ref="C8:C10"/>
    <mergeCell ref="D8:D10"/>
    <mergeCell ref="E8:E10"/>
    <mergeCell ref="F8:F10"/>
    <mergeCell ref="G8:G10"/>
    <mergeCell ref="H8:H10"/>
    <mergeCell ref="B3:B4"/>
    <mergeCell ref="C3:C4"/>
    <mergeCell ref="D3:D4"/>
    <mergeCell ref="E3:E4"/>
    <mergeCell ref="F3:F4"/>
    <mergeCell ref="G3:G4"/>
    <mergeCell ref="H19:H20"/>
    <mergeCell ref="F16:F18"/>
    <mergeCell ref="G16:G18"/>
    <mergeCell ref="H16:H18"/>
    <mergeCell ref="B14:B15"/>
    <mergeCell ref="C14:C15"/>
    <mergeCell ref="D14:D15"/>
    <mergeCell ref="E14:E15"/>
    <mergeCell ref="F14:F15"/>
    <mergeCell ref="G14:G15"/>
    <mergeCell ref="H14:H15"/>
    <mergeCell ref="B16:B18"/>
    <mergeCell ref="C16:C18"/>
    <mergeCell ref="D16:D18"/>
    <mergeCell ref="E16:E18"/>
    <mergeCell ref="B19:B20"/>
  </mergeCells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FA5B3-B001-5E4C-8923-ACBF510FEE8E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50E32-A59B-9548-9A1A-62B4C8E80AF6}">
  <dimension ref="B2:F14"/>
  <sheetViews>
    <sheetView workbookViewId="0">
      <selection activeCell="D19" sqref="D19"/>
    </sheetView>
  </sheetViews>
  <sheetFormatPr baseColWidth="10" defaultRowHeight="22" x14ac:dyDescent="0.3"/>
  <cols>
    <col min="1" max="1" width="10.83203125" style="94"/>
    <col min="2" max="2" width="22.1640625" style="94" bestFit="1" customWidth="1"/>
    <col min="3" max="3" width="45" style="94" customWidth="1"/>
    <col min="4" max="4" width="77" style="93" bestFit="1" customWidth="1"/>
    <col min="5" max="5" width="80.1640625" style="93" customWidth="1"/>
    <col min="6" max="6" width="89.5" style="94" customWidth="1"/>
    <col min="7" max="16384" width="10.83203125" style="94"/>
  </cols>
  <sheetData>
    <row r="2" spans="2:6" x14ac:dyDescent="0.3">
      <c r="B2" s="132"/>
      <c r="C2" s="132"/>
      <c r="D2" s="100" t="s">
        <v>389</v>
      </c>
      <c r="E2" s="100" t="s">
        <v>390</v>
      </c>
      <c r="F2" s="100" t="s">
        <v>456</v>
      </c>
    </row>
    <row r="3" spans="2:6" ht="46" x14ac:dyDescent="0.3">
      <c r="B3" s="131" t="s">
        <v>453</v>
      </c>
      <c r="C3" s="131"/>
      <c r="D3" s="95" t="s">
        <v>459</v>
      </c>
      <c r="E3" s="95" t="s">
        <v>460</v>
      </c>
      <c r="F3" s="96"/>
    </row>
    <row r="4" spans="2:6" ht="23" x14ac:dyDescent="0.3">
      <c r="B4" s="126" t="s">
        <v>547</v>
      </c>
      <c r="C4" s="122" t="s">
        <v>457</v>
      </c>
      <c r="D4" s="118" t="s">
        <v>468</v>
      </c>
      <c r="E4" s="118" t="s">
        <v>549</v>
      </c>
      <c r="F4" s="96"/>
    </row>
    <row r="5" spans="2:6" ht="46" x14ac:dyDescent="0.3">
      <c r="B5" s="127"/>
      <c r="C5" s="123"/>
      <c r="D5" s="118"/>
      <c r="E5" s="118" t="s">
        <v>550</v>
      </c>
      <c r="F5" s="96"/>
    </row>
    <row r="6" spans="2:6" x14ac:dyDescent="0.3">
      <c r="B6" s="127"/>
      <c r="C6" s="123"/>
      <c r="D6" s="99" t="s">
        <v>465</v>
      </c>
      <c r="E6" s="118"/>
      <c r="F6" s="96"/>
    </row>
    <row r="7" spans="2:6" ht="46" customHeight="1" x14ac:dyDescent="0.3">
      <c r="B7" s="127"/>
      <c r="C7" s="124"/>
      <c r="D7" s="99" t="s">
        <v>551</v>
      </c>
      <c r="E7" s="118"/>
      <c r="F7" s="96"/>
    </row>
    <row r="8" spans="2:6" ht="69" x14ac:dyDescent="0.3">
      <c r="B8" s="127"/>
      <c r="C8" s="96" t="s">
        <v>458</v>
      </c>
      <c r="D8" s="95" t="s">
        <v>461</v>
      </c>
      <c r="E8" s="97"/>
      <c r="F8" s="96"/>
    </row>
    <row r="9" spans="2:6" x14ac:dyDescent="0.3">
      <c r="B9" s="127"/>
      <c r="C9" s="96"/>
      <c r="D9" s="118"/>
      <c r="E9" s="119" t="s">
        <v>544</v>
      </c>
      <c r="F9" s="99"/>
    </row>
    <row r="10" spans="2:6" x14ac:dyDescent="0.3">
      <c r="B10" s="128"/>
      <c r="C10" s="96" t="s">
        <v>548</v>
      </c>
      <c r="D10" s="119"/>
      <c r="E10" s="119" t="s">
        <v>545</v>
      </c>
      <c r="F10" s="99"/>
    </row>
    <row r="11" spans="2:6" x14ac:dyDescent="0.3">
      <c r="B11" s="129" t="s">
        <v>546</v>
      </c>
      <c r="C11" s="96" t="s">
        <v>466</v>
      </c>
      <c r="D11" s="97"/>
      <c r="E11" s="97"/>
      <c r="F11" s="99" t="s">
        <v>467</v>
      </c>
    </row>
    <row r="12" spans="2:6" x14ac:dyDescent="0.3">
      <c r="B12" s="130"/>
      <c r="C12" s="96" t="s">
        <v>469</v>
      </c>
      <c r="D12" s="97"/>
      <c r="E12" s="97"/>
      <c r="F12" s="99" t="s">
        <v>470</v>
      </c>
    </row>
    <row r="13" spans="2:6" ht="23" customHeight="1" x14ac:dyDescent="0.3">
      <c r="B13" s="130"/>
      <c r="C13" s="125" t="s">
        <v>462</v>
      </c>
      <c r="D13" s="97"/>
      <c r="E13" s="98" t="s">
        <v>463</v>
      </c>
      <c r="F13" s="96"/>
    </row>
    <row r="14" spans="2:6" ht="23" x14ac:dyDescent="0.3">
      <c r="B14" s="130"/>
      <c r="C14" s="125"/>
      <c r="D14" s="97"/>
      <c r="E14" s="95" t="s">
        <v>464</v>
      </c>
      <c r="F14" s="96"/>
    </row>
  </sheetData>
  <mergeCells count="6">
    <mergeCell ref="B2:C2"/>
    <mergeCell ref="C4:C7"/>
    <mergeCell ref="C13:C14"/>
    <mergeCell ref="B4:B10"/>
    <mergeCell ref="B11:B14"/>
    <mergeCell ref="B3:C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D9CDF-8D3B-4C4F-9F1C-C65D2EB3343E}">
  <dimension ref="A1:M49"/>
  <sheetViews>
    <sheetView zoomScale="80" zoomScaleNormal="80" workbookViewId="0">
      <selection activeCell="K34" sqref="K34"/>
    </sheetView>
  </sheetViews>
  <sheetFormatPr baseColWidth="10" defaultColWidth="8.83203125" defaultRowHeight="16" x14ac:dyDescent="0.2"/>
  <cols>
    <col min="1" max="1" width="27.6640625" bestFit="1" customWidth="1"/>
    <col min="2" max="2" width="18.33203125" bestFit="1" customWidth="1"/>
    <col min="3" max="3" width="25.33203125" customWidth="1"/>
    <col min="4" max="4" width="27.6640625" bestFit="1" customWidth="1"/>
    <col min="7" max="7" width="22.1640625" bestFit="1" customWidth="1"/>
  </cols>
  <sheetData>
    <row r="1" spans="1:13" x14ac:dyDescent="0.2">
      <c r="B1" t="s">
        <v>0</v>
      </c>
      <c r="C1" t="s">
        <v>379</v>
      </c>
      <c r="H1" t="s">
        <v>321</v>
      </c>
      <c r="I1" t="s">
        <v>322</v>
      </c>
      <c r="L1" t="s">
        <v>321</v>
      </c>
      <c r="M1" t="s">
        <v>322</v>
      </c>
    </row>
    <row r="2" spans="1:13" x14ac:dyDescent="0.2">
      <c r="A2" t="s">
        <v>5</v>
      </c>
      <c r="B2">
        <v>0.22600000000000001</v>
      </c>
      <c r="C2">
        <v>-0.12</v>
      </c>
      <c r="G2" t="s">
        <v>316</v>
      </c>
      <c r="H2">
        <v>2.7743699999999998</v>
      </c>
      <c r="I2">
        <v>2.8641299999999998</v>
      </c>
      <c r="K2" t="s">
        <v>319</v>
      </c>
      <c r="L2">
        <v>5.6759909999999998</v>
      </c>
      <c r="M2">
        <v>0.5556025</v>
      </c>
    </row>
    <row r="3" spans="1:13" x14ac:dyDescent="0.2">
      <c r="A3" t="s">
        <v>11</v>
      </c>
      <c r="B3">
        <v>-4.4999999999999998E-2</v>
      </c>
      <c r="C3">
        <v>0</v>
      </c>
      <c r="K3" t="s">
        <v>320</v>
      </c>
      <c r="L3">
        <v>0</v>
      </c>
      <c r="M3">
        <v>0</v>
      </c>
    </row>
    <row r="4" spans="1:13" x14ac:dyDescent="0.2">
      <c r="A4" t="s">
        <v>79</v>
      </c>
      <c r="B4">
        <v>0</v>
      </c>
      <c r="C4">
        <v>0.35</v>
      </c>
      <c r="G4" t="s">
        <v>323</v>
      </c>
      <c r="H4">
        <v>0.27068130000000001</v>
      </c>
      <c r="I4">
        <v>0.29724149999999999</v>
      </c>
      <c r="K4" t="s">
        <v>319</v>
      </c>
      <c r="L4">
        <v>0.55539000000000005</v>
      </c>
      <c r="M4">
        <v>0.15205959999999999</v>
      </c>
    </row>
    <row r="5" spans="1:13" x14ac:dyDescent="0.2">
      <c r="B5" t="s">
        <v>3</v>
      </c>
      <c r="C5" t="s">
        <v>127</v>
      </c>
      <c r="K5" t="s">
        <v>320</v>
      </c>
      <c r="L5">
        <v>0</v>
      </c>
      <c r="M5">
        <v>0</v>
      </c>
    </row>
    <row r="6" spans="1:13" x14ac:dyDescent="0.2">
      <c r="A6" t="s">
        <v>380</v>
      </c>
    </row>
    <row r="7" spans="1:13" x14ac:dyDescent="0.2">
      <c r="A7" t="s">
        <v>5</v>
      </c>
      <c r="B7" s="6">
        <v>0.68400000000000005</v>
      </c>
      <c r="C7">
        <v>0</v>
      </c>
      <c r="H7" t="s">
        <v>321</v>
      </c>
      <c r="I7" t="s">
        <v>322</v>
      </c>
      <c r="L7" t="s">
        <v>321</v>
      </c>
      <c r="M7" t="s">
        <v>322</v>
      </c>
    </row>
    <row r="8" spans="1:13" x14ac:dyDescent="0.2">
      <c r="A8" t="s">
        <v>186</v>
      </c>
      <c r="B8">
        <v>-2.5999999999999999E-2</v>
      </c>
      <c r="C8">
        <v>0</v>
      </c>
      <c r="G8" t="s">
        <v>186</v>
      </c>
      <c r="H8">
        <f>4.662178- 1.488808</f>
        <v>3.1733700000000002</v>
      </c>
      <c r="I8">
        <f>4.662178+1.488808</f>
        <v>6.1509859999999996</v>
      </c>
      <c r="K8" t="s">
        <v>319</v>
      </c>
      <c r="L8">
        <v>5.6759909999999998</v>
      </c>
      <c r="M8">
        <v>0.5556025</v>
      </c>
    </row>
    <row r="9" spans="1:13" x14ac:dyDescent="0.2">
      <c r="A9" t="s">
        <v>134</v>
      </c>
      <c r="B9">
        <v>-5.8000000000000003E-2</v>
      </c>
      <c r="C9">
        <v>0</v>
      </c>
      <c r="K9" t="s">
        <v>320</v>
      </c>
      <c r="L9">
        <v>3.4433929999999999</v>
      </c>
      <c r="M9">
        <v>1.3375330000000001</v>
      </c>
    </row>
    <row r="10" spans="1:13" x14ac:dyDescent="0.2">
      <c r="A10" t="s">
        <v>229</v>
      </c>
      <c r="B10">
        <v>0</v>
      </c>
      <c r="C10">
        <v>0.49399999999999999</v>
      </c>
      <c r="G10" t="s">
        <v>229</v>
      </c>
      <c r="H10">
        <f>0.5062086-0.1771589</f>
        <v>0.3290497</v>
      </c>
      <c r="I10">
        <f>0.5062086+0.1771589</f>
        <v>0.68336750000000002</v>
      </c>
      <c r="K10" t="s">
        <v>319</v>
      </c>
      <c r="L10">
        <v>0.55539000000000005</v>
      </c>
      <c r="M10">
        <v>0.15205959999999999</v>
      </c>
    </row>
    <row r="11" spans="1:13" x14ac:dyDescent="0.2">
      <c r="A11" t="s">
        <v>149</v>
      </c>
      <c r="B11">
        <v>0</v>
      </c>
      <c r="C11">
        <v>-0.109</v>
      </c>
      <c r="K11" t="s">
        <v>320</v>
      </c>
      <c r="L11">
        <v>0.44526110000000002</v>
      </c>
      <c r="M11">
        <v>0.18690109999999999</v>
      </c>
    </row>
    <row r="12" spans="1:13" x14ac:dyDescent="0.2">
      <c r="A12" t="s">
        <v>382</v>
      </c>
    </row>
    <row r="13" spans="1:13" x14ac:dyDescent="0.2">
      <c r="A13" t="s">
        <v>381</v>
      </c>
    </row>
    <row r="16" spans="1:13" x14ac:dyDescent="0.2">
      <c r="B16" t="s">
        <v>0</v>
      </c>
    </row>
    <row r="17" spans="1:5" x14ac:dyDescent="0.2">
      <c r="A17" t="s">
        <v>316</v>
      </c>
      <c r="B17" t="s">
        <v>317</v>
      </c>
      <c r="C17" t="s">
        <v>366</v>
      </c>
    </row>
    <row r="18" spans="1:5" x14ac:dyDescent="0.2">
      <c r="A18">
        <f>L2+M2</f>
        <v>6.2315934999999998</v>
      </c>
      <c r="B18">
        <f>$B$2+$B$3*A18</f>
        <v>-5.4421707499999999E-2</v>
      </c>
      <c r="E18" s="25"/>
    </row>
    <row r="19" spans="1:5" x14ac:dyDescent="0.2">
      <c r="A19">
        <f>L2-M2</f>
        <v>5.1203884999999998</v>
      </c>
      <c r="B19">
        <f>$B$2+$B$3*A19</f>
        <v>-4.4174824999999862E-3</v>
      </c>
    </row>
    <row r="20" spans="1:5" x14ac:dyDescent="0.2">
      <c r="A20">
        <v>0</v>
      </c>
      <c r="B20">
        <f>$B$2+$B$3*A20</f>
        <v>0.22600000000000001</v>
      </c>
    </row>
    <row r="21" spans="1:5" x14ac:dyDescent="0.2">
      <c r="A21">
        <v>7</v>
      </c>
      <c r="C21">
        <v>0</v>
      </c>
    </row>
    <row r="22" spans="1:5" x14ac:dyDescent="0.2">
      <c r="A22">
        <v>0</v>
      </c>
      <c r="C22">
        <v>0</v>
      </c>
    </row>
    <row r="24" spans="1:5" x14ac:dyDescent="0.2">
      <c r="B24" t="s">
        <v>378</v>
      </c>
    </row>
    <row r="25" spans="1:5" x14ac:dyDescent="0.2">
      <c r="A25" t="s">
        <v>323</v>
      </c>
      <c r="B25" t="s">
        <v>317</v>
      </c>
      <c r="C25" t="s">
        <v>366</v>
      </c>
    </row>
    <row r="26" spans="1:5" x14ac:dyDescent="0.2">
      <c r="A26">
        <v>0.8</v>
      </c>
      <c r="C26">
        <v>0</v>
      </c>
    </row>
    <row r="27" spans="1:5" x14ac:dyDescent="0.2">
      <c r="A27">
        <v>0</v>
      </c>
      <c r="C27">
        <v>0</v>
      </c>
    </row>
    <row r="28" spans="1:5" x14ac:dyDescent="0.2">
      <c r="A28">
        <v>0</v>
      </c>
      <c r="B28">
        <f>$C$2+$C$4*A28</f>
        <v>-0.12</v>
      </c>
    </row>
    <row r="29" spans="1:5" x14ac:dyDescent="0.2">
      <c r="A29">
        <f>L4-M4</f>
        <v>0.40333040000000009</v>
      </c>
      <c r="B29">
        <f>$C$2+$C$4*A29</f>
        <v>2.1165640000000013E-2</v>
      </c>
    </row>
    <row r="30" spans="1:5" x14ac:dyDescent="0.2">
      <c r="A30">
        <f>L4+M4</f>
        <v>0.70744960000000001</v>
      </c>
      <c r="B30">
        <f>$C$2+$C$4*A30</f>
        <v>0.12760736</v>
      </c>
    </row>
    <row r="35" spans="1:3" x14ac:dyDescent="0.2">
      <c r="B35" t="s">
        <v>3</v>
      </c>
    </row>
    <row r="36" spans="1:3" x14ac:dyDescent="0.2">
      <c r="A36" t="s">
        <v>186</v>
      </c>
      <c r="B36" t="s">
        <v>317</v>
      </c>
      <c r="C36" t="s">
        <v>318</v>
      </c>
    </row>
    <row r="37" spans="1:3" x14ac:dyDescent="0.2">
      <c r="A37">
        <f>L8-M8</f>
        <v>5.1203884999999998</v>
      </c>
      <c r="B37">
        <f>B7+B8*A37+B9*A37</f>
        <v>0.25388736600000006</v>
      </c>
    </row>
    <row r="38" spans="1:3" x14ac:dyDescent="0.2">
      <c r="A38">
        <f>L8+M8</f>
        <v>6.2315934999999998</v>
      </c>
      <c r="B38">
        <f>B7+B8*A38+A38*B9</f>
        <v>0.16054614600000006</v>
      </c>
    </row>
    <row r="39" spans="1:3" x14ac:dyDescent="0.2">
      <c r="A39">
        <v>0</v>
      </c>
      <c r="B39">
        <f>B7+B8*A39+A39*B9</f>
        <v>0.68400000000000005</v>
      </c>
    </row>
    <row r="40" spans="1:3" x14ac:dyDescent="0.2">
      <c r="A40">
        <f>L9-M9</f>
        <v>2.1058599999999998</v>
      </c>
      <c r="C40">
        <f>B8*(A40)</f>
        <v>-5.4752359999999993E-2</v>
      </c>
    </row>
    <row r="41" spans="1:3" x14ac:dyDescent="0.2">
      <c r="A41">
        <f>L9+M9</f>
        <v>4.780926</v>
      </c>
      <c r="C41">
        <f>B8*A41</f>
        <v>-0.124304076</v>
      </c>
    </row>
    <row r="42" spans="1:3" x14ac:dyDescent="0.2">
      <c r="A42">
        <v>0</v>
      </c>
      <c r="C42">
        <f>B8*A42</f>
        <v>0</v>
      </c>
    </row>
    <row r="43" spans="1:3" x14ac:dyDescent="0.2">
      <c r="B43" t="s">
        <v>127</v>
      </c>
    </row>
    <row r="44" spans="1:3" x14ac:dyDescent="0.2">
      <c r="A44" t="s">
        <v>229</v>
      </c>
      <c r="B44" t="s">
        <v>317</v>
      </c>
      <c r="C44" t="s">
        <v>318</v>
      </c>
    </row>
    <row r="45" spans="1:3" x14ac:dyDescent="0.2">
      <c r="A45">
        <f>L10+M10</f>
        <v>0.70744960000000001</v>
      </c>
      <c r="B45">
        <f>C10*A45+C11*A45</f>
        <v>0.272368096</v>
      </c>
    </row>
    <row r="46" spans="1:3" x14ac:dyDescent="0.2">
      <c r="A46">
        <f>L10-M10</f>
        <v>0.40333040000000009</v>
      </c>
      <c r="B46">
        <f>C10*A46+C11*A46</f>
        <v>0.15528220400000003</v>
      </c>
    </row>
    <row r="47" spans="1:3" x14ac:dyDescent="0.2">
      <c r="A47">
        <v>0</v>
      </c>
      <c r="B47">
        <f>C11*A47+C12*A47</f>
        <v>0</v>
      </c>
      <c r="C47">
        <f>C11*A47</f>
        <v>0</v>
      </c>
    </row>
    <row r="48" spans="1:3" x14ac:dyDescent="0.2">
      <c r="A48">
        <f>L11-M11</f>
        <v>0.25836000000000003</v>
      </c>
      <c r="C48">
        <f>C10*A48</f>
        <v>0.12762984000000002</v>
      </c>
    </row>
    <row r="49" spans="1:3" x14ac:dyDescent="0.2">
      <c r="A49">
        <f>L11+M11</f>
        <v>0.63216220000000001</v>
      </c>
      <c r="C49">
        <f>C10*A49</f>
        <v>0.31228812680000001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40A11-14E0-5242-BAF0-2DDD4FA2A627}">
  <dimension ref="B2:P61"/>
  <sheetViews>
    <sheetView workbookViewId="0">
      <selection activeCell="P26" sqref="P26"/>
    </sheetView>
  </sheetViews>
  <sheetFormatPr baseColWidth="10" defaultColWidth="10.83203125" defaultRowHeight="16" x14ac:dyDescent="0.2"/>
  <cols>
    <col min="1" max="1" width="10.83203125" style="1"/>
    <col min="2" max="2" width="30.5" style="1" customWidth="1"/>
    <col min="3" max="3" width="14" style="1" customWidth="1"/>
    <col min="4" max="4" width="14.83203125" style="1" customWidth="1"/>
    <col min="5" max="7" width="10.83203125" style="1"/>
    <col min="8" max="8" width="30.5" style="1" customWidth="1"/>
    <col min="9" max="9" width="14" style="1" customWidth="1"/>
    <col min="10" max="10" width="14.83203125" style="1" customWidth="1"/>
    <col min="11" max="13" width="10.83203125" style="1"/>
    <col min="14" max="14" width="18.1640625" style="1" bestFit="1" customWidth="1"/>
    <col min="15" max="15" width="20.5" style="1" customWidth="1"/>
    <col min="16" max="16" width="21.5" style="1" customWidth="1"/>
    <col min="17" max="16384" width="10.83203125" style="1"/>
  </cols>
  <sheetData>
    <row r="2" spans="2:16" x14ac:dyDescent="0.2">
      <c r="B2" s="21"/>
      <c r="C2" s="22" t="s">
        <v>340</v>
      </c>
      <c r="D2" s="22" t="s">
        <v>341</v>
      </c>
      <c r="E2" s="22" t="s">
        <v>342</v>
      </c>
      <c r="F2" s="22" t="s">
        <v>343</v>
      </c>
      <c r="H2" s="21"/>
      <c r="I2" s="22" t="s">
        <v>340</v>
      </c>
      <c r="J2" s="22" t="s">
        <v>341</v>
      </c>
      <c r="K2" s="22" t="s">
        <v>342</v>
      </c>
      <c r="L2" s="22" t="s">
        <v>343</v>
      </c>
      <c r="N2" s="21"/>
      <c r="O2" s="22" t="s">
        <v>340</v>
      </c>
      <c r="P2" s="22" t="s">
        <v>341</v>
      </c>
    </row>
    <row r="3" spans="2:16" ht="32" customHeight="1" x14ac:dyDescent="0.2">
      <c r="B3" s="15" t="s">
        <v>345</v>
      </c>
      <c r="C3" s="166" t="s">
        <v>346</v>
      </c>
      <c r="D3" s="166"/>
      <c r="E3" s="166" t="s">
        <v>348</v>
      </c>
      <c r="F3" s="166"/>
      <c r="H3" s="15" t="s">
        <v>345</v>
      </c>
      <c r="I3" s="166" t="s">
        <v>349</v>
      </c>
      <c r="J3" s="166"/>
      <c r="K3" s="166" t="s">
        <v>350</v>
      </c>
      <c r="L3" s="166"/>
      <c r="N3" s="15" t="s">
        <v>345</v>
      </c>
      <c r="O3" s="166" t="s">
        <v>352</v>
      </c>
      <c r="P3" s="166"/>
    </row>
    <row r="4" spans="2:16" ht="16" customHeight="1" x14ac:dyDescent="0.2">
      <c r="B4" s="164" t="s">
        <v>334</v>
      </c>
      <c r="C4" s="13" t="s">
        <v>6</v>
      </c>
      <c r="D4" s="13" t="s">
        <v>67</v>
      </c>
      <c r="E4" s="13" t="s">
        <v>7</v>
      </c>
      <c r="F4" s="13" t="s">
        <v>68</v>
      </c>
      <c r="H4" s="164" t="s">
        <v>334</v>
      </c>
      <c r="I4" s="13" t="s">
        <v>128</v>
      </c>
      <c r="J4" s="13" t="s">
        <v>205</v>
      </c>
      <c r="K4" s="13" t="s">
        <v>10</v>
      </c>
      <c r="L4" s="13" t="s">
        <v>260</v>
      </c>
      <c r="N4" s="164" t="s">
        <v>334</v>
      </c>
      <c r="O4" s="13" t="s">
        <v>64</v>
      </c>
      <c r="P4" s="13" t="s">
        <v>53</v>
      </c>
    </row>
    <row r="5" spans="2:16" x14ac:dyDescent="0.2">
      <c r="B5" s="164"/>
      <c r="C5" s="13" t="s">
        <v>16</v>
      </c>
      <c r="D5" s="13" t="s">
        <v>30</v>
      </c>
      <c r="E5" s="13" t="s">
        <v>18</v>
      </c>
      <c r="F5" s="13" t="s">
        <v>73</v>
      </c>
      <c r="H5" s="164"/>
      <c r="I5" s="13" t="s">
        <v>29</v>
      </c>
      <c r="J5" s="13" t="s">
        <v>235</v>
      </c>
      <c r="K5" s="13" t="s">
        <v>24</v>
      </c>
      <c r="L5" s="13" t="s">
        <v>263</v>
      </c>
      <c r="N5" s="164"/>
      <c r="O5" s="13" t="s">
        <v>65</v>
      </c>
      <c r="P5" s="13" t="s">
        <v>239</v>
      </c>
    </row>
    <row r="6" spans="2:16" ht="16" customHeight="1" x14ac:dyDescent="0.2">
      <c r="B6" s="164" t="s">
        <v>364</v>
      </c>
      <c r="C6" s="13"/>
      <c r="D6" s="13" t="s">
        <v>76</v>
      </c>
      <c r="E6" s="13"/>
      <c r="F6" s="13" t="s">
        <v>77</v>
      </c>
      <c r="H6" s="164" t="s">
        <v>360</v>
      </c>
      <c r="J6" s="13" t="s">
        <v>265</v>
      </c>
      <c r="K6" s="13"/>
      <c r="L6" s="13" t="s">
        <v>266</v>
      </c>
      <c r="N6" s="164" t="s">
        <v>360</v>
      </c>
      <c r="P6" s="13" t="s">
        <v>97</v>
      </c>
    </row>
    <row r="7" spans="2:16" x14ac:dyDescent="0.2">
      <c r="B7" s="164"/>
      <c r="C7" s="13"/>
      <c r="D7" s="13" t="s">
        <v>26</v>
      </c>
      <c r="E7" s="13"/>
      <c r="F7" s="13" t="s">
        <v>78</v>
      </c>
      <c r="H7" s="164"/>
      <c r="J7" s="13" t="s">
        <v>213</v>
      </c>
      <c r="K7" s="13"/>
      <c r="L7" s="13" t="s">
        <v>78</v>
      </c>
      <c r="N7" s="164"/>
      <c r="P7" s="13" t="s">
        <v>241</v>
      </c>
    </row>
    <row r="8" spans="2:16" ht="16" customHeight="1" x14ac:dyDescent="0.2">
      <c r="B8" s="164" t="s">
        <v>365</v>
      </c>
      <c r="C8" s="13"/>
      <c r="D8" s="13" t="s">
        <v>80</v>
      </c>
      <c r="E8" s="13"/>
      <c r="F8" s="13" t="s">
        <v>81</v>
      </c>
      <c r="H8" s="164" t="s">
        <v>361</v>
      </c>
      <c r="J8" s="13" t="s">
        <v>268</v>
      </c>
      <c r="K8" s="13"/>
      <c r="L8" s="13" t="s">
        <v>269</v>
      </c>
      <c r="N8" s="164" t="s">
        <v>361</v>
      </c>
      <c r="P8" s="13" t="s">
        <v>273</v>
      </c>
    </row>
    <row r="9" spans="2:16" x14ac:dyDescent="0.2">
      <c r="B9" s="165"/>
      <c r="C9" s="16"/>
      <c r="D9" s="16" t="s">
        <v>85</v>
      </c>
      <c r="E9" s="16"/>
      <c r="F9" s="16" t="s">
        <v>86</v>
      </c>
      <c r="H9" s="164"/>
      <c r="J9" s="13" t="s">
        <v>163</v>
      </c>
      <c r="K9" s="13"/>
      <c r="L9" s="13" t="s">
        <v>274</v>
      </c>
      <c r="N9" s="164"/>
      <c r="P9" s="13" t="s">
        <v>217</v>
      </c>
    </row>
    <row r="10" spans="2:16" ht="16" customHeight="1" x14ac:dyDescent="0.2">
      <c r="B10" s="14" t="s">
        <v>335</v>
      </c>
      <c r="C10" s="13" t="s">
        <v>336</v>
      </c>
      <c r="D10" s="13" t="s">
        <v>336</v>
      </c>
      <c r="E10" s="13" t="s">
        <v>336</v>
      </c>
      <c r="F10" s="13" t="s">
        <v>336</v>
      </c>
      <c r="H10" s="164" t="s">
        <v>362</v>
      </c>
      <c r="I10" s="13"/>
      <c r="J10" s="13" t="s">
        <v>276</v>
      </c>
      <c r="K10" s="13"/>
      <c r="L10" s="13" t="s">
        <v>277</v>
      </c>
      <c r="N10" s="164" t="s">
        <v>362</v>
      </c>
      <c r="O10" s="13"/>
      <c r="P10" s="13" t="s">
        <v>140</v>
      </c>
    </row>
    <row r="11" spans="2:16" x14ac:dyDescent="0.2">
      <c r="B11" s="14" t="s">
        <v>337</v>
      </c>
      <c r="C11" s="13" t="s">
        <v>336</v>
      </c>
      <c r="D11" s="13" t="s">
        <v>336</v>
      </c>
      <c r="E11" s="13" t="s">
        <v>336</v>
      </c>
      <c r="F11" s="13" t="s">
        <v>336</v>
      </c>
      <c r="H11" s="164"/>
      <c r="I11" s="13"/>
      <c r="J11" s="13" t="s">
        <v>251</v>
      </c>
      <c r="K11" s="13"/>
      <c r="L11" s="13" t="s">
        <v>20</v>
      </c>
      <c r="N11" s="164"/>
      <c r="O11" s="13"/>
      <c r="P11" s="13" t="s">
        <v>213</v>
      </c>
    </row>
    <row r="12" spans="2:16" ht="16" customHeight="1" x14ac:dyDescent="0.2">
      <c r="B12" s="14" t="s">
        <v>338</v>
      </c>
      <c r="C12" s="13" t="s">
        <v>336</v>
      </c>
      <c r="D12" s="13" t="s">
        <v>336</v>
      </c>
      <c r="E12" s="13" t="s">
        <v>336</v>
      </c>
      <c r="F12" s="13" t="s">
        <v>336</v>
      </c>
      <c r="H12" s="164" t="s">
        <v>363</v>
      </c>
      <c r="I12" s="13"/>
      <c r="J12" s="13" t="s">
        <v>281</v>
      </c>
      <c r="K12" s="13"/>
      <c r="L12" s="13" t="s">
        <v>112</v>
      </c>
      <c r="N12" s="164" t="s">
        <v>363</v>
      </c>
      <c r="O12" s="13"/>
      <c r="P12" s="13" t="s">
        <v>285</v>
      </c>
    </row>
    <row r="13" spans="2:16" x14ac:dyDescent="0.2">
      <c r="B13" s="20" t="s">
        <v>339</v>
      </c>
      <c r="C13" s="16" t="s">
        <v>344</v>
      </c>
      <c r="D13" s="16" t="s">
        <v>347</v>
      </c>
      <c r="E13" s="16" t="s">
        <v>344</v>
      </c>
      <c r="F13" s="16" t="s">
        <v>347</v>
      </c>
      <c r="H13" s="165"/>
      <c r="I13" s="16"/>
      <c r="J13" s="16" t="s">
        <v>210</v>
      </c>
      <c r="K13" s="16"/>
      <c r="L13" s="16" t="s">
        <v>286</v>
      </c>
      <c r="N13" s="165"/>
      <c r="O13" s="16"/>
      <c r="P13" s="16" t="s">
        <v>60</v>
      </c>
    </row>
    <row r="14" spans="2:16" ht="16" customHeight="1" x14ac:dyDescent="0.2">
      <c r="H14" s="14" t="s">
        <v>335</v>
      </c>
      <c r="I14" s="13" t="s">
        <v>336</v>
      </c>
      <c r="J14" s="13" t="s">
        <v>336</v>
      </c>
      <c r="K14" s="13" t="s">
        <v>336</v>
      </c>
      <c r="L14" s="13" t="s">
        <v>336</v>
      </c>
      <c r="N14" s="14" t="s">
        <v>335</v>
      </c>
      <c r="O14" s="13" t="s">
        <v>336</v>
      </c>
      <c r="P14" s="13" t="s">
        <v>336</v>
      </c>
    </row>
    <row r="15" spans="2:16" x14ac:dyDescent="0.2">
      <c r="H15" s="14" t="s">
        <v>337</v>
      </c>
      <c r="I15" s="13" t="s">
        <v>336</v>
      </c>
      <c r="J15" s="13" t="s">
        <v>336</v>
      </c>
      <c r="K15" s="13" t="s">
        <v>336</v>
      </c>
      <c r="L15" s="13" t="s">
        <v>336</v>
      </c>
      <c r="N15" s="14" t="s">
        <v>337</v>
      </c>
      <c r="O15" s="13" t="s">
        <v>336</v>
      </c>
      <c r="P15" s="13" t="s">
        <v>336</v>
      </c>
    </row>
    <row r="16" spans="2:16" x14ac:dyDescent="0.2">
      <c r="H16" s="14" t="s">
        <v>338</v>
      </c>
      <c r="I16" s="13" t="s">
        <v>336</v>
      </c>
      <c r="J16" s="13" t="s">
        <v>336</v>
      </c>
      <c r="K16" s="13" t="s">
        <v>336</v>
      </c>
      <c r="L16" s="13" t="s">
        <v>336</v>
      </c>
      <c r="N16" s="14" t="s">
        <v>338</v>
      </c>
      <c r="O16" s="13" t="s">
        <v>336</v>
      </c>
      <c r="P16" s="13" t="s">
        <v>336</v>
      </c>
    </row>
    <row r="17" spans="2:16" ht="16" customHeight="1" x14ac:dyDescent="0.2">
      <c r="C17" s="23"/>
      <c r="H17" s="20" t="s">
        <v>339</v>
      </c>
      <c r="I17" s="16" t="s">
        <v>344</v>
      </c>
      <c r="J17" s="16" t="s">
        <v>351</v>
      </c>
      <c r="K17" s="16" t="s">
        <v>344</v>
      </c>
      <c r="L17" s="16" t="s">
        <v>351</v>
      </c>
      <c r="N17" s="20" t="s">
        <v>339</v>
      </c>
      <c r="O17" s="16" t="s">
        <v>353</v>
      </c>
      <c r="P17" s="16" t="s">
        <v>354</v>
      </c>
    </row>
    <row r="18" spans="2:16" x14ac:dyDescent="0.2">
      <c r="C18" s="23"/>
    </row>
    <row r="19" spans="2:16" x14ac:dyDescent="0.2">
      <c r="B19" s="21"/>
      <c r="C19" s="22" t="s">
        <v>340</v>
      </c>
      <c r="D19" s="22" t="s">
        <v>341</v>
      </c>
      <c r="E19" s="22" t="s">
        <v>342</v>
      </c>
      <c r="F19" s="22" t="s">
        <v>343</v>
      </c>
    </row>
    <row r="20" spans="2:16" ht="32" customHeight="1" x14ac:dyDescent="0.2">
      <c r="B20" s="29" t="s">
        <v>388</v>
      </c>
      <c r="C20" s="166" t="s">
        <v>399</v>
      </c>
      <c r="D20" s="166"/>
      <c r="E20" s="166" t="s">
        <v>400</v>
      </c>
      <c r="F20" s="166"/>
    </row>
    <row r="21" spans="2:16" ht="16" customHeight="1" x14ac:dyDescent="0.2">
      <c r="B21" s="164" t="s">
        <v>334</v>
      </c>
      <c r="C21" s="13" t="s">
        <v>6</v>
      </c>
      <c r="D21" s="13" t="s">
        <v>67</v>
      </c>
      <c r="E21" s="13" t="s">
        <v>41</v>
      </c>
      <c r="F21" s="13" t="s">
        <v>387</v>
      </c>
    </row>
    <row r="22" spans="2:16" x14ac:dyDescent="0.2">
      <c r="B22" s="164"/>
      <c r="C22" s="13" t="s">
        <v>16</v>
      </c>
      <c r="D22" s="13" t="s">
        <v>30</v>
      </c>
      <c r="E22" s="13" t="s">
        <v>383</v>
      </c>
      <c r="F22" s="13" t="s">
        <v>88</v>
      </c>
    </row>
    <row r="23" spans="2:16" ht="16" customHeight="1" x14ac:dyDescent="0.2">
      <c r="B23" s="164" t="s">
        <v>401</v>
      </c>
      <c r="C23" s="13"/>
      <c r="D23" s="13" t="s">
        <v>76</v>
      </c>
      <c r="E23" s="13"/>
      <c r="F23" s="13" t="s">
        <v>384</v>
      </c>
    </row>
    <row r="24" spans="2:16" x14ac:dyDescent="0.2">
      <c r="B24" s="164"/>
      <c r="C24" s="13"/>
      <c r="D24" s="13" t="s">
        <v>26</v>
      </c>
      <c r="E24" s="13"/>
      <c r="F24" s="13" t="s">
        <v>16</v>
      </c>
    </row>
    <row r="25" spans="2:16" ht="16" customHeight="1" x14ac:dyDescent="0.2">
      <c r="B25" s="164" t="s">
        <v>402</v>
      </c>
      <c r="C25" s="13"/>
      <c r="D25" s="13" t="s">
        <v>80</v>
      </c>
      <c r="E25" s="13"/>
      <c r="F25" s="13" t="s">
        <v>385</v>
      </c>
    </row>
    <row r="26" spans="2:16" x14ac:dyDescent="0.2">
      <c r="B26" s="165"/>
      <c r="C26" s="16"/>
      <c r="D26" s="16" t="s">
        <v>85</v>
      </c>
      <c r="E26" s="16"/>
      <c r="F26" s="16" t="s">
        <v>99</v>
      </c>
    </row>
    <row r="27" spans="2:16" x14ac:dyDescent="0.2">
      <c r="B27" s="14" t="s">
        <v>335</v>
      </c>
      <c r="C27" s="13" t="s">
        <v>336</v>
      </c>
      <c r="D27" s="13" t="s">
        <v>336</v>
      </c>
      <c r="E27" s="13" t="s">
        <v>336</v>
      </c>
      <c r="F27" s="13" t="s">
        <v>336</v>
      </c>
    </row>
    <row r="28" spans="2:16" x14ac:dyDescent="0.2">
      <c r="B28" s="14" t="s">
        <v>337</v>
      </c>
      <c r="C28" s="13" t="s">
        <v>336</v>
      </c>
      <c r="D28" s="13" t="s">
        <v>336</v>
      </c>
      <c r="E28" s="13" t="s">
        <v>336</v>
      </c>
      <c r="F28" s="13" t="s">
        <v>336</v>
      </c>
    </row>
    <row r="29" spans="2:16" x14ac:dyDescent="0.2">
      <c r="B29" s="14" t="s">
        <v>338</v>
      </c>
      <c r="C29" s="13" t="s">
        <v>336</v>
      </c>
      <c r="D29" s="13" t="s">
        <v>336</v>
      </c>
      <c r="E29" s="13" t="s">
        <v>336</v>
      </c>
      <c r="F29" s="13" t="s">
        <v>336</v>
      </c>
    </row>
    <row r="30" spans="2:16" x14ac:dyDescent="0.2">
      <c r="B30" s="20" t="s">
        <v>339</v>
      </c>
      <c r="C30" s="16" t="s">
        <v>344</v>
      </c>
      <c r="D30" s="16" t="s">
        <v>347</v>
      </c>
      <c r="E30" s="16" t="s">
        <v>386</v>
      </c>
      <c r="F30" s="16" t="s">
        <v>386</v>
      </c>
    </row>
    <row r="32" spans="2:16" ht="16" customHeight="1" x14ac:dyDescent="0.2"/>
    <row r="34" spans="2:7" ht="16" customHeight="1" x14ac:dyDescent="0.2"/>
    <row r="44" spans="2:7" x14ac:dyDescent="0.2">
      <c r="B44" s="169" t="s">
        <v>324</v>
      </c>
      <c r="C44" s="169" t="s">
        <v>325</v>
      </c>
      <c r="D44" s="169"/>
      <c r="E44" s="169"/>
      <c r="F44" s="169" t="s">
        <v>326</v>
      </c>
      <c r="G44" s="169" t="s">
        <v>327</v>
      </c>
    </row>
    <row r="45" spans="2:7" x14ac:dyDescent="0.2">
      <c r="B45" s="168"/>
      <c r="C45" s="19" t="s">
        <v>328</v>
      </c>
      <c r="D45" s="19" t="s">
        <v>329</v>
      </c>
      <c r="E45" s="19" t="s">
        <v>330</v>
      </c>
      <c r="F45" s="170"/>
      <c r="G45" s="170"/>
    </row>
    <row r="46" spans="2:7" x14ac:dyDescent="0.2">
      <c r="B46" s="167" t="s">
        <v>331</v>
      </c>
      <c r="C46" s="17" t="str">
        <f>"86.809"</f>
        <v>86.809</v>
      </c>
      <c r="D46" s="17" t="str">
        <f>"84.233"</f>
        <v>84.233</v>
      </c>
      <c r="E46" s="17" t="str">
        <f>"89.272"</f>
        <v>89.272</v>
      </c>
      <c r="F46" s="168" t="str">
        <f>"0.000"</f>
        <v>0.000</v>
      </c>
      <c r="G46" s="168" t="str">
        <f>"2702.000"</f>
        <v>2702.000</v>
      </c>
    </row>
    <row r="47" spans="2:7" x14ac:dyDescent="0.2">
      <c r="B47" s="167"/>
      <c r="C47" s="17" t="str">
        <f>"(113.981)"</f>
        <v>(113.981)</v>
      </c>
      <c r="D47" s="17" t="str">
        <f>"(89.347)"</f>
        <v>(89.347)</v>
      </c>
      <c r="E47" s="17" t="str">
        <f>"(133.323)"</f>
        <v>(133.323)</v>
      </c>
      <c r="F47" s="168"/>
      <c r="G47" s="168"/>
    </row>
    <row r="48" spans="2:7" x14ac:dyDescent="0.2">
      <c r="B48" s="167" t="s">
        <v>332</v>
      </c>
      <c r="C48" s="17" t="str">
        <f>"1.293"</f>
        <v>1.293</v>
      </c>
      <c r="D48" s="17" t="str">
        <f>"1.209"</f>
        <v>1.209</v>
      </c>
      <c r="E48" s="17" t="str">
        <f>"1.372"</f>
        <v>1.372</v>
      </c>
      <c r="F48" s="168" t="str">
        <f>"0.000"</f>
        <v>0.000</v>
      </c>
      <c r="G48" s="168" t="str">
        <f>"8.000"</f>
        <v>8.000</v>
      </c>
    </row>
    <row r="49" spans="2:7" x14ac:dyDescent="0.2">
      <c r="B49" s="167"/>
      <c r="C49" s="17" t="str">
        <f>"(1.166)"</f>
        <v>(1.166)</v>
      </c>
      <c r="D49" s="17" t="str">
        <f>"(1.133)"</f>
        <v>(1.133)</v>
      </c>
      <c r="E49" s="17" t="str">
        <f>"(1.192)"</f>
        <v>(1.192)</v>
      </c>
      <c r="F49" s="168"/>
      <c r="G49" s="168"/>
    </row>
    <row r="50" spans="2:7" x14ac:dyDescent="0.2">
      <c r="B50" s="167" t="s">
        <v>355</v>
      </c>
      <c r="C50" s="17" t="str">
        <f>"0.420"</f>
        <v>0.420</v>
      </c>
      <c r="D50" s="17" t="str">
        <f>"0.432"</f>
        <v>0.432</v>
      </c>
      <c r="E50" s="17" t="str">
        <f>"0.397"</f>
        <v>0.397</v>
      </c>
      <c r="F50" s="168" t="str">
        <f>"-0.048"</f>
        <v>-0.048</v>
      </c>
      <c r="G50" s="168" t="str">
        <f>"0.991"</f>
        <v>0.991</v>
      </c>
    </row>
    <row r="51" spans="2:7" x14ac:dyDescent="0.2">
      <c r="B51" s="167"/>
      <c r="C51" s="17" t="str">
        <f>"(0.181)"</f>
        <v>(0.181)</v>
      </c>
      <c r="D51" s="17" t="str">
        <f>"(0.175)"</f>
        <v>(0.175)</v>
      </c>
      <c r="E51" s="17" t="str">
        <f>"(0.188)"</f>
        <v>(0.188)</v>
      </c>
      <c r="F51" s="168"/>
      <c r="G51" s="168"/>
    </row>
    <row r="52" spans="2:7" x14ac:dyDescent="0.2">
      <c r="B52" s="167" t="s">
        <v>333</v>
      </c>
      <c r="C52" s="17" t="str">
        <f>"0.489"</f>
        <v>0.489</v>
      </c>
      <c r="D52" s="17" t="str">
        <f>"0.436"</f>
        <v>0.436</v>
      </c>
      <c r="E52" s="17" t="str">
        <f>"0.536"</f>
        <v>0.536</v>
      </c>
      <c r="F52" s="168" t="str">
        <f>"-3.000"</f>
        <v>-3.000</v>
      </c>
      <c r="G52" s="168" t="str">
        <f>"14.000"</f>
        <v>14.000</v>
      </c>
    </row>
    <row r="53" spans="2:7" x14ac:dyDescent="0.2">
      <c r="B53" s="167"/>
      <c r="C53" s="17" t="str">
        <f>"(1.096)"</f>
        <v>(1.096)</v>
      </c>
      <c r="D53" s="17" t="str">
        <f>"(1.041)"</f>
        <v>(1.041)</v>
      </c>
      <c r="E53" s="17" t="str">
        <f>"(1.140)"</f>
        <v>(1.140)</v>
      </c>
      <c r="F53" s="168"/>
      <c r="G53" s="168"/>
    </row>
    <row r="54" spans="2:7" x14ac:dyDescent="0.2">
      <c r="B54" s="167" t="s">
        <v>357</v>
      </c>
      <c r="C54" s="17" t="str">
        <f>"2.774"</f>
        <v>2.774</v>
      </c>
      <c r="D54" s="17" t="str">
        <f>"5.676"</f>
        <v>5.676</v>
      </c>
      <c r="E54" s="17" t="str">
        <f>"0.000"</f>
        <v>0.000</v>
      </c>
      <c r="F54" s="168" t="str">
        <f>"0.000"</f>
        <v>0.000</v>
      </c>
      <c r="G54" s="168" t="str">
        <f>"6.977"</f>
        <v>6.977</v>
      </c>
    </row>
    <row r="55" spans="2:7" x14ac:dyDescent="0.2">
      <c r="B55" s="167"/>
      <c r="C55" s="17" t="str">
        <f>"(2.864)"</f>
        <v>(2.864)</v>
      </c>
      <c r="D55" s="17" t="str">
        <f>"(0.556)"</f>
        <v>(0.556)</v>
      </c>
      <c r="E55" s="17" t="str">
        <f>"(0.000)"</f>
        <v>(0.000)</v>
      </c>
      <c r="F55" s="168"/>
      <c r="G55" s="168"/>
    </row>
    <row r="56" spans="2:7" x14ac:dyDescent="0.2">
      <c r="B56" s="167" t="s">
        <v>359</v>
      </c>
      <c r="C56" s="17" t="str">
        <f>"0.271"</f>
        <v>0.271</v>
      </c>
      <c r="D56" s="17" t="str">
        <f>"0.555"</f>
        <v>0.555</v>
      </c>
      <c r="E56" s="17" t="str">
        <f>"0.000"</f>
        <v>0.000</v>
      </c>
      <c r="F56" s="168" t="str">
        <f>"0.000"</f>
        <v>0.000</v>
      </c>
      <c r="G56" s="168" t="str">
        <f>"0.891"</f>
        <v>0.891</v>
      </c>
    </row>
    <row r="57" spans="2:7" x14ac:dyDescent="0.2">
      <c r="B57" s="167"/>
      <c r="C57" s="17" t="str">
        <f>"(0.297)"</f>
        <v>(0.297)</v>
      </c>
      <c r="D57" s="17" t="str">
        <f>"(0.152)"</f>
        <v>(0.152)</v>
      </c>
      <c r="E57" s="17" t="str">
        <f>"(0.000)"</f>
        <v>(0.000)</v>
      </c>
      <c r="F57" s="168"/>
      <c r="G57" s="168"/>
    </row>
    <row r="58" spans="2:7" x14ac:dyDescent="0.2">
      <c r="B58" s="167" t="s">
        <v>358</v>
      </c>
      <c r="C58" s="17" t="str">
        <f>"4.662"</f>
        <v>4.662</v>
      </c>
      <c r="D58" s="17" t="str">
        <f>"5.676"</f>
        <v>5.676</v>
      </c>
      <c r="E58" s="17" t="str">
        <f>"3.443"</f>
        <v>3.443</v>
      </c>
      <c r="F58" s="168" t="str">
        <f>"0.000"</f>
        <v>0.000</v>
      </c>
      <c r="G58" s="168" t="str">
        <f>"7.912"</f>
        <v>7.912</v>
      </c>
    </row>
    <row r="59" spans="2:7" x14ac:dyDescent="0.2">
      <c r="B59" s="167"/>
      <c r="C59" s="17" t="str">
        <f>"(1.489)"</f>
        <v>(1.489)</v>
      </c>
      <c r="D59" s="17" t="str">
        <f>"(0.556)"</f>
        <v>(0.556)</v>
      </c>
      <c r="E59" s="17" t="str">
        <f>"(1.338)"</f>
        <v>(1.338)</v>
      </c>
      <c r="F59" s="168"/>
      <c r="G59" s="168"/>
    </row>
    <row r="60" spans="2:7" x14ac:dyDescent="0.2">
      <c r="B60" s="167" t="s">
        <v>356</v>
      </c>
      <c r="C60" s="17" t="str">
        <f>"0.506"</f>
        <v>0.506</v>
      </c>
      <c r="D60" s="17" t="str">
        <f>"0.555"</f>
        <v>0.555</v>
      </c>
      <c r="E60" s="17" t="str">
        <f>"0.445"</f>
        <v>0.445</v>
      </c>
      <c r="F60" s="168" t="str">
        <f>"-0.090"</f>
        <v>-0.090</v>
      </c>
      <c r="G60" s="168" t="str">
        <f>"0.911"</f>
        <v>0.911</v>
      </c>
    </row>
    <row r="61" spans="2:7" x14ac:dyDescent="0.2">
      <c r="B61" s="171"/>
      <c r="C61" s="18" t="str">
        <f>"(0.177)"</f>
        <v>(0.177)</v>
      </c>
      <c r="D61" s="18" t="str">
        <f>"(0.152)"</f>
        <v>(0.152)</v>
      </c>
      <c r="E61" s="18" t="str">
        <f>"(0.187)"</f>
        <v>(0.187)</v>
      </c>
      <c r="F61" s="170"/>
      <c r="G61" s="170"/>
    </row>
  </sheetData>
  <mergeCells count="51">
    <mergeCell ref="G50:G51"/>
    <mergeCell ref="B52:B53"/>
    <mergeCell ref="F52:F53"/>
    <mergeCell ref="G52:G53"/>
    <mergeCell ref="G60:G61"/>
    <mergeCell ref="G54:G55"/>
    <mergeCell ref="B56:B57"/>
    <mergeCell ref="F56:F57"/>
    <mergeCell ref="G56:G57"/>
    <mergeCell ref="B58:B59"/>
    <mergeCell ref="F58:F59"/>
    <mergeCell ref="G58:G59"/>
    <mergeCell ref="B54:B55"/>
    <mergeCell ref="F54:F55"/>
    <mergeCell ref="E20:F20"/>
    <mergeCell ref="B50:B51"/>
    <mergeCell ref="F50:F51"/>
    <mergeCell ref="B60:B61"/>
    <mergeCell ref="F60:F61"/>
    <mergeCell ref="H6:H7"/>
    <mergeCell ref="B48:B49"/>
    <mergeCell ref="F48:F49"/>
    <mergeCell ref="G48:G49"/>
    <mergeCell ref="N10:N11"/>
    <mergeCell ref="N12:N13"/>
    <mergeCell ref="B44:B45"/>
    <mergeCell ref="B46:B47"/>
    <mergeCell ref="C44:E44"/>
    <mergeCell ref="F44:F45"/>
    <mergeCell ref="G44:G45"/>
    <mergeCell ref="F46:F47"/>
    <mergeCell ref="G46:G47"/>
    <mergeCell ref="H10:H11"/>
    <mergeCell ref="H12:H13"/>
    <mergeCell ref="C20:D20"/>
    <mergeCell ref="H8:H9"/>
    <mergeCell ref="B21:B22"/>
    <mergeCell ref="B23:B24"/>
    <mergeCell ref="B25:B26"/>
    <mergeCell ref="O3:P3"/>
    <mergeCell ref="B6:B7"/>
    <mergeCell ref="B8:B9"/>
    <mergeCell ref="B4:B5"/>
    <mergeCell ref="C3:D3"/>
    <mergeCell ref="E3:F3"/>
    <mergeCell ref="I3:J3"/>
    <mergeCell ref="K3:L3"/>
    <mergeCell ref="H4:H5"/>
    <mergeCell ref="N4:N5"/>
    <mergeCell ref="N6:N7"/>
    <mergeCell ref="N8:N9"/>
  </mergeCells>
  <pageMargins left="0.7" right="0.7" top="0.75" bottom="0.75" header="0.3" footer="0.3"/>
  <pageSetup paperSize="9"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AFA23-5DA6-564F-ADE6-19391318ACD9}">
  <dimension ref="B2:X89"/>
  <sheetViews>
    <sheetView topLeftCell="H38" zoomScale="120" zoomScaleNormal="120" workbookViewId="0">
      <selection activeCell="O56" sqref="O56:S67"/>
    </sheetView>
  </sheetViews>
  <sheetFormatPr baseColWidth="10" defaultColWidth="10.83203125" defaultRowHeight="16" x14ac:dyDescent="0.2"/>
  <cols>
    <col min="1" max="1" width="10.83203125" style="1"/>
    <col min="2" max="2" width="27.1640625" style="1" customWidth="1"/>
    <col min="3" max="3" width="31.5" style="1" bestFit="1" customWidth="1"/>
    <col min="4" max="5" width="10.83203125" style="2"/>
    <col min="6" max="6" width="12" style="2" customWidth="1"/>
    <col min="7" max="7" width="14.5" style="2" customWidth="1"/>
    <col min="8" max="8" width="14" style="9" bestFit="1" customWidth="1"/>
    <col min="9" max="9" width="10.33203125" style="9" bestFit="1" customWidth="1"/>
    <col min="10" max="10" width="13.83203125" style="9" bestFit="1" customWidth="1"/>
    <col min="11" max="11" width="14" style="2" customWidth="1"/>
    <col min="12" max="12" width="13.83203125" style="2" customWidth="1"/>
    <col min="13" max="13" width="10.83203125" style="1"/>
    <col min="14" max="14" width="68.83203125" style="1" customWidth="1"/>
    <col min="15" max="15" width="31" style="1" bestFit="1" customWidth="1"/>
    <col min="16" max="17" width="10.83203125" style="1"/>
    <col min="18" max="18" width="15" style="1" customWidth="1"/>
    <col min="19" max="19" width="15.33203125" style="1" customWidth="1"/>
    <col min="20" max="20" width="13.33203125" style="1" bestFit="1" customWidth="1"/>
    <col min="21" max="22" width="10.83203125" style="1"/>
    <col min="23" max="23" width="17" style="1" customWidth="1"/>
    <col min="24" max="24" width="9" style="1" bestFit="1" customWidth="1"/>
    <col min="25" max="16384" width="10.83203125" style="1"/>
  </cols>
  <sheetData>
    <row r="2" spans="2:12" x14ac:dyDescent="0.2">
      <c r="B2" s="174" t="s">
        <v>179</v>
      </c>
      <c r="C2" s="3"/>
      <c r="D2" s="176" t="s">
        <v>0</v>
      </c>
      <c r="E2" s="176"/>
      <c r="F2" s="176" t="s">
        <v>1</v>
      </c>
      <c r="G2" s="176"/>
      <c r="H2" s="8" t="s">
        <v>124</v>
      </c>
      <c r="I2" s="8" t="s">
        <v>125</v>
      </c>
      <c r="J2" s="8" t="s">
        <v>126</v>
      </c>
      <c r="K2" s="176" t="s">
        <v>2</v>
      </c>
      <c r="L2" s="176"/>
    </row>
    <row r="3" spans="2:12" x14ac:dyDescent="0.2">
      <c r="B3" s="175"/>
      <c r="C3" s="172" t="s">
        <v>5</v>
      </c>
      <c r="D3" s="4" t="s">
        <v>6</v>
      </c>
      <c r="E3" s="4" t="s">
        <v>15</v>
      </c>
      <c r="F3" s="4" t="s">
        <v>7</v>
      </c>
      <c r="G3" s="4" t="s">
        <v>8</v>
      </c>
      <c r="H3" s="8" t="s">
        <v>43</v>
      </c>
      <c r="I3" s="8" t="s">
        <v>49</v>
      </c>
      <c r="J3" s="8" t="s">
        <v>50</v>
      </c>
      <c r="K3" s="4" t="s">
        <v>9</v>
      </c>
      <c r="L3" s="4" t="s">
        <v>44</v>
      </c>
    </row>
    <row r="4" spans="2:12" x14ac:dyDescent="0.2">
      <c r="B4" s="175"/>
      <c r="C4" s="173"/>
      <c r="D4" s="4" t="s">
        <v>16</v>
      </c>
      <c r="E4" s="4" t="s">
        <v>17</v>
      </c>
      <c r="F4" s="4" t="s">
        <v>18</v>
      </c>
      <c r="G4" s="4" t="s">
        <v>19</v>
      </c>
      <c r="H4" s="8" t="s">
        <v>51</v>
      </c>
      <c r="I4" s="8" t="s">
        <v>52</v>
      </c>
      <c r="J4" s="8" t="s">
        <v>17</v>
      </c>
      <c r="K4" s="4" t="s">
        <v>22</v>
      </c>
      <c r="L4" s="4" t="s">
        <v>24</v>
      </c>
    </row>
    <row r="5" spans="2:12" x14ac:dyDescent="0.2">
      <c r="B5" s="175"/>
      <c r="C5" s="172" t="s">
        <v>11</v>
      </c>
      <c r="D5" s="4"/>
      <c r="E5" s="4" t="s">
        <v>25</v>
      </c>
      <c r="F5" s="4"/>
      <c r="G5" s="4" t="s">
        <v>12</v>
      </c>
      <c r="H5" s="8" t="s">
        <v>53</v>
      </c>
      <c r="I5" s="8" t="s">
        <v>54</v>
      </c>
      <c r="J5" s="8" t="s">
        <v>55</v>
      </c>
      <c r="K5" s="4"/>
      <c r="L5" s="4" t="s">
        <v>56</v>
      </c>
    </row>
    <row r="6" spans="2:12" x14ac:dyDescent="0.2">
      <c r="B6" s="175"/>
      <c r="C6" s="173"/>
      <c r="D6" s="4"/>
      <c r="E6" s="4" t="s">
        <v>26</v>
      </c>
      <c r="F6" s="4"/>
      <c r="G6" s="4" t="s">
        <v>27</v>
      </c>
      <c r="H6" s="8" t="s">
        <v>57</v>
      </c>
      <c r="I6" s="8" t="s">
        <v>28</v>
      </c>
      <c r="J6" s="8" t="s">
        <v>26</v>
      </c>
      <c r="K6" s="4"/>
      <c r="L6" s="4" t="s">
        <v>26</v>
      </c>
    </row>
    <row r="7" spans="2:12" x14ac:dyDescent="0.2">
      <c r="B7" s="175"/>
      <c r="C7" s="172" t="s">
        <v>13</v>
      </c>
      <c r="D7" s="4"/>
      <c r="E7" s="4" t="s">
        <v>31</v>
      </c>
      <c r="F7" s="4"/>
      <c r="G7" s="4" t="s">
        <v>32</v>
      </c>
      <c r="H7" s="8" t="s">
        <v>45</v>
      </c>
      <c r="I7" s="8" t="s">
        <v>46</v>
      </c>
      <c r="J7" s="8" t="s">
        <v>47</v>
      </c>
      <c r="K7" s="4"/>
      <c r="L7" s="4" t="s">
        <v>48</v>
      </c>
    </row>
    <row r="8" spans="2:12" x14ac:dyDescent="0.2">
      <c r="B8" s="175"/>
      <c r="C8" s="173"/>
      <c r="D8" s="4"/>
      <c r="E8" s="4" t="s">
        <v>33</v>
      </c>
      <c r="F8" s="4"/>
      <c r="G8" s="4" t="s">
        <v>34</v>
      </c>
      <c r="H8" s="8" t="s">
        <v>58</v>
      </c>
      <c r="I8" s="8" t="s">
        <v>59</v>
      </c>
      <c r="J8" s="8" t="s">
        <v>60</v>
      </c>
      <c r="K8" s="4"/>
      <c r="L8" s="4" t="s">
        <v>27</v>
      </c>
    </row>
    <row r="9" spans="2:12" x14ac:dyDescent="0.2">
      <c r="B9" s="175"/>
      <c r="C9" s="3" t="s">
        <v>14</v>
      </c>
      <c r="D9" s="4" t="s">
        <v>38</v>
      </c>
      <c r="E9" s="4" t="s">
        <v>39</v>
      </c>
      <c r="F9" s="4" t="s">
        <v>38</v>
      </c>
      <c r="G9" s="4" t="s">
        <v>39</v>
      </c>
      <c r="H9" s="8" t="s">
        <v>61</v>
      </c>
      <c r="I9" s="8" t="s">
        <v>61</v>
      </c>
      <c r="J9" s="8" t="s">
        <v>61</v>
      </c>
      <c r="K9" s="4" t="s">
        <v>40</v>
      </c>
      <c r="L9" s="4" t="s">
        <v>62</v>
      </c>
    </row>
    <row r="11" spans="2:12" x14ac:dyDescent="0.2">
      <c r="B11" s="174" t="s">
        <v>180</v>
      </c>
      <c r="C11" s="3"/>
      <c r="D11" s="176" t="s">
        <v>3</v>
      </c>
      <c r="E11" s="176"/>
      <c r="F11" s="176" t="s">
        <v>4</v>
      </c>
      <c r="G11" s="176"/>
      <c r="H11" s="8" t="s">
        <v>124</v>
      </c>
      <c r="I11" s="8" t="s">
        <v>125</v>
      </c>
      <c r="J11" s="8" t="s">
        <v>126</v>
      </c>
      <c r="K11" s="176" t="s">
        <v>127</v>
      </c>
      <c r="L11" s="176"/>
    </row>
    <row r="12" spans="2:12" x14ac:dyDescent="0.2">
      <c r="B12" s="175"/>
      <c r="C12" s="172" t="s">
        <v>5</v>
      </c>
      <c r="D12" s="4" t="s">
        <v>128</v>
      </c>
      <c r="E12" s="4" t="s">
        <v>181</v>
      </c>
      <c r="F12" s="4" t="s">
        <v>10</v>
      </c>
      <c r="G12" s="4" t="s">
        <v>182</v>
      </c>
      <c r="H12" s="8" t="s">
        <v>183</v>
      </c>
      <c r="I12" s="8" t="s">
        <v>184</v>
      </c>
      <c r="J12" s="8" t="s">
        <v>206</v>
      </c>
      <c r="K12" s="4" t="s">
        <v>64</v>
      </c>
      <c r="L12" s="4" t="s">
        <v>185</v>
      </c>
    </row>
    <row r="13" spans="2:12" x14ac:dyDescent="0.2">
      <c r="B13" s="175"/>
      <c r="C13" s="173"/>
      <c r="D13" s="4" t="s">
        <v>29</v>
      </c>
      <c r="E13" s="4" t="s">
        <v>207</v>
      </c>
      <c r="F13" s="4" t="s">
        <v>24</v>
      </c>
      <c r="G13" s="4" t="s">
        <v>208</v>
      </c>
      <c r="H13" s="8" t="s">
        <v>209</v>
      </c>
      <c r="I13" s="8" t="s">
        <v>210</v>
      </c>
      <c r="J13" s="8" t="s">
        <v>135</v>
      </c>
      <c r="K13" s="4" t="s">
        <v>65</v>
      </c>
      <c r="L13" s="4" t="s">
        <v>18</v>
      </c>
    </row>
    <row r="14" spans="2:12" x14ac:dyDescent="0.2">
      <c r="B14" s="175"/>
      <c r="C14" s="172" t="s">
        <v>186</v>
      </c>
      <c r="D14" s="4"/>
      <c r="E14" s="4" t="s">
        <v>140</v>
      </c>
      <c r="F14" s="4"/>
      <c r="G14" s="4" t="s">
        <v>187</v>
      </c>
      <c r="H14" s="8" t="s">
        <v>188</v>
      </c>
      <c r="I14" s="8" t="s">
        <v>189</v>
      </c>
      <c r="J14" s="8" t="s">
        <v>190</v>
      </c>
      <c r="K14" s="4"/>
      <c r="L14" s="4" t="s">
        <v>191</v>
      </c>
    </row>
    <row r="15" spans="2:12" x14ac:dyDescent="0.2">
      <c r="B15" s="175"/>
      <c r="C15" s="173"/>
      <c r="D15" s="4"/>
      <c r="E15" s="4" t="s">
        <v>211</v>
      </c>
      <c r="F15" s="4"/>
      <c r="G15" s="4" t="s">
        <v>212</v>
      </c>
      <c r="H15" s="8" t="s">
        <v>16</v>
      </c>
      <c r="I15" s="8" t="s">
        <v>213</v>
      </c>
      <c r="J15" s="8" t="s">
        <v>211</v>
      </c>
      <c r="K15" s="4"/>
      <c r="L15" s="4" t="s">
        <v>214</v>
      </c>
    </row>
    <row r="16" spans="2:12" x14ac:dyDescent="0.2">
      <c r="B16" s="175"/>
      <c r="C16" s="172" t="s">
        <v>228</v>
      </c>
      <c r="D16" s="4"/>
      <c r="E16" s="4" t="s">
        <v>192</v>
      </c>
      <c r="F16" s="4"/>
      <c r="G16" s="4" t="s">
        <v>193</v>
      </c>
      <c r="H16" s="8" t="s">
        <v>194</v>
      </c>
      <c r="I16" s="8" t="s">
        <v>195</v>
      </c>
      <c r="J16" s="8" t="s">
        <v>196</v>
      </c>
      <c r="K16" s="4"/>
      <c r="L16" s="4" t="s">
        <v>197</v>
      </c>
    </row>
    <row r="17" spans="2:24" x14ac:dyDescent="0.2">
      <c r="B17" s="175"/>
      <c r="C17" s="173"/>
      <c r="D17" s="4"/>
      <c r="E17" s="4" t="s">
        <v>215</v>
      </c>
      <c r="F17" s="4"/>
      <c r="G17" s="4" t="s">
        <v>216</v>
      </c>
      <c r="H17" s="8" t="s">
        <v>60</v>
      </c>
      <c r="I17" s="8" t="s">
        <v>37</v>
      </c>
      <c r="J17" s="8" t="s">
        <v>217</v>
      </c>
      <c r="K17" s="4"/>
      <c r="L17" s="4" t="s">
        <v>218</v>
      </c>
    </row>
    <row r="18" spans="2:24" x14ac:dyDescent="0.2">
      <c r="B18" s="175"/>
      <c r="C18" s="172" t="s">
        <v>134</v>
      </c>
      <c r="D18" s="4"/>
      <c r="E18" s="4" t="s">
        <v>219</v>
      </c>
      <c r="F18" s="4"/>
      <c r="G18" s="4" t="s">
        <v>80</v>
      </c>
      <c r="H18" s="8" t="s">
        <v>220</v>
      </c>
      <c r="I18" s="8" t="s">
        <v>198</v>
      </c>
      <c r="J18" s="8" t="s">
        <v>199</v>
      </c>
      <c r="K18" s="4"/>
      <c r="L18" s="4" t="s">
        <v>221</v>
      </c>
    </row>
    <row r="19" spans="2:24" x14ac:dyDescent="0.2">
      <c r="B19" s="175"/>
      <c r="C19" s="173"/>
      <c r="D19" s="4"/>
      <c r="E19" s="4" t="s">
        <v>222</v>
      </c>
      <c r="F19" s="4"/>
      <c r="G19" s="4" t="s">
        <v>223</v>
      </c>
      <c r="H19" s="8" t="s">
        <v>222</v>
      </c>
      <c r="I19" s="8" t="s">
        <v>218</v>
      </c>
      <c r="J19" s="8" t="s">
        <v>224</v>
      </c>
      <c r="K19" s="4"/>
      <c r="L19" s="4" t="s">
        <v>211</v>
      </c>
    </row>
    <row r="20" spans="2:24" x14ac:dyDescent="0.2">
      <c r="B20" s="175"/>
      <c r="C20" s="172" t="s">
        <v>139</v>
      </c>
      <c r="D20" s="4"/>
      <c r="E20" s="4" t="s">
        <v>200</v>
      </c>
      <c r="F20" s="4"/>
      <c r="G20" s="4" t="s">
        <v>201</v>
      </c>
      <c r="H20" s="8" t="s">
        <v>202</v>
      </c>
      <c r="I20" s="8" t="s">
        <v>203</v>
      </c>
      <c r="J20" s="8" t="s">
        <v>204</v>
      </c>
      <c r="K20" s="4"/>
      <c r="L20" s="4" t="s">
        <v>205</v>
      </c>
    </row>
    <row r="21" spans="2:24" x14ac:dyDescent="0.2">
      <c r="B21" s="175"/>
      <c r="C21" s="173"/>
      <c r="D21" s="4"/>
      <c r="E21" s="4" t="s">
        <v>143</v>
      </c>
      <c r="F21" s="4"/>
      <c r="G21" s="4" t="s">
        <v>225</v>
      </c>
      <c r="H21" s="8" t="s">
        <v>226</v>
      </c>
      <c r="I21" s="8" t="s">
        <v>136</v>
      </c>
      <c r="J21" s="8" t="s">
        <v>35</v>
      </c>
      <c r="K21" s="4"/>
      <c r="L21" s="4" t="s">
        <v>227</v>
      </c>
    </row>
    <row r="22" spans="2:24" x14ac:dyDescent="0.2">
      <c r="B22" s="175"/>
      <c r="C22" s="3" t="s">
        <v>14</v>
      </c>
      <c r="D22" s="4" t="s">
        <v>38</v>
      </c>
      <c r="E22" s="4" t="s">
        <v>137</v>
      </c>
      <c r="F22" s="4" t="s">
        <v>38</v>
      </c>
      <c r="G22" s="4" t="s">
        <v>137</v>
      </c>
      <c r="H22" s="8" t="s">
        <v>100</v>
      </c>
      <c r="I22" s="8" t="s">
        <v>100</v>
      </c>
      <c r="J22" s="8" t="s">
        <v>100</v>
      </c>
      <c r="K22" s="4" t="s">
        <v>66</v>
      </c>
      <c r="L22" s="4" t="s">
        <v>138</v>
      </c>
    </row>
    <row r="23" spans="2:24" x14ac:dyDescent="0.2">
      <c r="B23" s="10"/>
      <c r="N23" s="10"/>
      <c r="P23" s="2"/>
      <c r="Q23" s="2"/>
      <c r="R23" s="2"/>
      <c r="S23" s="2"/>
      <c r="T23" s="11"/>
      <c r="U23" s="11"/>
      <c r="V23" s="11"/>
      <c r="W23" s="11"/>
      <c r="X23" s="11"/>
    </row>
    <row r="24" spans="2:24" x14ac:dyDescent="0.2">
      <c r="B24" s="10"/>
      <c r="N24" s="10"/>
      <c r="P24" s="2"/>
      <c r="Q24" s="2"/>
      <c r="R24" s="2"/>
      <c r="S24" s="2"/>
      <c r="T24" s="11"/>
      <c r="U24" s="11"/>
      <c r="V24" s="11"/>
      <c r="W24" s="11"/>
      <c r="X24" s="11"/>
    </row>
    <row r="25" spans="2:24" x14ac:dyDescent="0.2">
      <c r="B25" s="174" t="s">
        <v>177</v>
      </c>
      <c r="C25" s="3"/>
      <c r="D25" s="176" t="s">
        <v>0</v>
      </c>
      <c r="E25" s="176"/>
      <c r="F25" s="176" t="s">
        <v>1</v>
      </c>
      <c r="G25" s="176"/>
      <c r="H25" s="8" t="s">
        <v>124</v>
      </c>
      <c r="I25" s="8" t="s">
        <v>125</v>
      </c>
      <c r="J25" s="8" t="s">
        <v>126</v>
      </c>
      <c r="K25" s="176" t="s">
        <v>2</v>
      </c>
      <c r="L25" s="176"/>
      <c r="N25" s="10"/>
      <c r="P25" s="2"/>
      <c r="Q25" s="2"/>
      <c r="R25" s="2"/>
      <c r="S25" s="2"/>
      <c r="T25" s="11"/>
      <c r="U25" s="11"/>
      <c r="V25" s="11"/>
      <c r="W25" s="11"/>
      <c r="X25" s="11"/>
    </row>
    <row r="26" spans="2:24" x14ac:dyDescent="0.2">
      <c r="B26" s="175"/>
      <c r="C26" s="172" t="s">
        <v>5</v>
      </c>
      <c r="D26" s="4" t="s">
        <v>6</v>
      </c>
      <c r="E26" s="4" t="s">
        <v>15</v>
      </c>
      <c r="F26" s="4" t="s">
        <v>7</v>
      </c>
      <c r="G26" s="4" t="s">
        <v>8</v>
      </c>
      <c r="H26" s="8" t="s">
        <v>154</v>
      </c>
      <c r="I26" s="8" t="s">
        <v>93</v>
      </c>
      <c r="J26" s="8" t="s">
        <v>155</v>
      </c>
      <c r="K26" s="4" t="s">
        <v>103</v>
      </c>
      <c r="L26" s="4" t="s">
        <v>156</v>
      </c>
      <c r="N26" s="10"/>
      <c r="P26" s="2"/>
      <c r="Q26" s="2"/>
      <c r="R26" s="2"/>
      <c r="S26" s="2"/>
      <c r="T26" s="11"/>
      <c r="U26" s="11"/>
      <c r="V26" s="11"/>
      <c r="W26" s="11"/>
      <c r="X26" s="11"/>
    </row>
    <row r="27" spans="2:24" x14ac:dyDescent="0.2">
      <c r="B27" s="175"/>
      <c r="C27" s="173"/>
      <c r="D27" s="4" t="s">
        <v>16</v>
      </c>
      <c r="E27" s="4" t="s">
        <v>17</v>
      </c>
      <c r="F27" s="4" t="s">
        <v>18</v>
      </c>
      <c r="G27" s="4" t="s">
        <v>19</v>
      </c>
      <c r="H27" s="8" t="s">
        <v>157</v>
      </c>
      <c r="I27" s="8" t="s">
        <v>158</v>
      </c>
      <c r="J27" s="8" t="s">
        <v>159</v>
      </c>
      <c r="K27" s="4" t="s">
        <v>160</v>
      </c>
      <c r="L27" s="4" t="s">
        <v>161</v>
      </c>
      <c r="N27" s="10"/>
      <c r="P27" s="2"/>
      <c r="Q27" s="2"/>
      <c r="R27" s="2"/>
      <c r="S27" s="2"/>
      <c r="T27" s="11"/>
      <c r="U27" s="11"/>
      <c r="V27" s="11"/>
      <c r="W27" s="11"/>
      <c r="X27" s="11"/>
    </row>
    <row r="28" spans="2:24" x14ac:dyDescent="0.2">
      <c r="B28" s="175"/>
      <c r="C28" s="172" t="s">
        <v>11</v>
      </c>
      <c r="D28" s="4"/>
      <c r="E28" s="4" t="s">
        <v>25</v>
      </c>
      <c r="F28" s="4"/>
      <c r="G28" s="4" t="s">
        <v>12</v>
      </c>
      <c r="H28" s="8" t="s">
        <v>56</v>
      </c>
      <c r="I28" s="8" t="s">
        <v>56</v>
      </c>
      <c r="J28" s="8" t="s">
        <v>162</v>
      </c>
      <c r="K28" s="4"/>
      <c r="L28" s="4" t="s">
        <v>97</v>
      </c>
      <c r="N28" s="10"/>
      <c r="P28" s="2"/>
      <c r="Q28" s="2"/>
      <c r="R28" s="2"/>
      <c r="S28" s="2"/>
      <c r="T28" s="11"/>
      <c r="U28" s="11"/>
      <c r="V28" s="11"/>
      <c r="W28" s="11"/>
      <c r="X28" s="11"/>
    </row>
    <row r="29" spans="2:24" x14ac:dyDescent="0.2">
      <c r="B29" s="175"/>
      <c r="C29" s="173"/>
      <c r="D29" s="4"/>
      <c r="E29" s="4" t="s">
        <v>26</v>
      </c>
      <c r="F29" s="4"/>
      <c r="G29" s="4" t="s">
        <v>27</v>
      </c>
      <c r="H29" s="8" t="s">
        <v>30</v>
      </c>
      <c r="I29" s="8" t="s">
        <v>17</v>
      </c>
      <c r="J29" s="8" t="s">
        <v>163</v>
      </c>
      <c r="K29" s="4"/>
      <c r="L29" s="4" t="s">
        <v>164</v>
      </c>
      <c r="N29" s="10"/>
      <c r="P29" s="2"/>
      <c r="Q29" s="2"/>
      <c r="R29" s="2"/>
      <c r="S29" s="2"/>
      <c r="T29" s="11"/>
      <c r="U29" s="11"/>
      <c r="V29" s="11"/>
      <c r="W29" s="11"/>
      <c r="X29" s="11"/>
    </row>
    <row r="30" spans="2:24" x14ac:dyDescent="0.2">
      <c r="B30" s="175"/>
      <c r="C30" s="172" t="s">
        <v>13</v>
      </c>
      <c r="D30" s="4"/>
      <c r="E30" s="4" t="s">
        <v>31</v>
      </c>
      <c r="F30" s="4"/>
      <c r="G30" s="4" t="s">
        <v>32</v>
      </c>
      <c r="H30" s="8" t="s">
        <v>165</v>
      </c>
      <c r="I30" s="8" t="s">
        <v>166</v>
      </c>
      <c r="J30" s="8" t="s">
        <v>153</v>
      </c>
      <c r="K30" s="4"/>
      <c r="L30" s="4" t="s">
        <v>167</v>
      </c>
      <c r="N30" s="10"/>
      <c r="P30" s="2"/>
      <c r="Q30" s="2"/>
      <c r="R30" s="2"/>
      <c r="S30" s="2"/>
      <c r="T30" s="11"/>
      <c r="U30" s="11"/>
      <c r="V30" s="11"/>
      <c r="W30" s="11"/>
      <c r="X30" s="11"/>
    </row>
    <row r="31" spans="2:24" x14ac:dyDescent="0.2">
      <c r="B31" s="175"/>
      <c r="C31" s="173"/>
      <c r="D31" s="4"/>
      <c r="E31" s="4" t="s">
        <v>33</v>
      </c>
      <c r="F31" s="4"/>
      <c r="G31" s="4" t="s">
        <v>34</v>
      </c>
      <c r="H31" s="8" t="s">
        <v>168</v>
      </c>
      <c r="I31" s="8" t="s">
        <v>169</v>
      </c>
      <c r="J31" s="8" t="s">
        <v>34</v>
      </c>
      <c r="K31" s="4"/>
      <c r="L31" s="4" t="s">
        <v>23</v>
      </c>
      <c r="N31" s="10"/>
      <c r="P31" s="2"/>
      <c r="Q31" s="2"/>
      <c r="R31" s="2"/>
      <c r="S31" s="2"/>
      <c r="T31" s="11"/>
      <c r="U31" s="11"/>
      <c r="V31" s="11"/>
      <c r="W31" s="11"/>
      <c r="X31" s="11"/>
    </row>
    <row r="32" spans="2:24" x14ac:dyDescent="0.2">
      <c r="B32" s="175"/>
      <c r="C32" s="3" t="s">
        <v>14</v>
      </c>
      <c r="D32" s="4" t="s">
        <v>38</v>
      </c>
      <c r="E32" s="4" t="s">
        <v>39</v>
      </c>
      <c r="F32" s="4" t="s">
        <v>38</v>
      </c>
      <c r="G32" s="4" t="s">
        <v>39</v>
      </c>
      <c r="H32" s="12" t="s">
        <v>170</v>
      </c>
      <c r="I32" s="12" t="s">
        <v>170</v>
      </c>
      <c r="J32" s="12" t="s">
        <v>170</v>
      </c>
      <c r="K32" s="5" t="s">
        <v>171</v>
      </c>
      <c r="L32" s="5" t="s">
        <v>171</v>
      </c>
      <c r="N32" s="10"/>
      <c r="P32" s="2"/>
      <c r="Q32" s="2"/>
      <c r="R32" s="2"/>
      <c r="S32" s="2"/>
      <c r="T32" s="11"/>
      <c r="U32" s="11"/>
      <c r="V32" s="11"/>
      <c r="W32" s="11"/>
      <c r="X32" s="11"/>
    </row>
    <row r="33" spans="2:24" x14ac:dyDescent="0.2">
      <c r="N33" s="10"/>
      <c r="P33" s="2"/>
      <c r="Q33" s="2"/>
      <c r="R33" s="2"/>
      <c r="S33" s="2"/>
      <c r="T33" s="11"/>
      <c r="U33" s="11"/>
      <c r="V33" s="11"/>
      <c r="W33" s="11"/>
      <c r="X33" s="11"/>
    </row>
    <row r="34" spans="2:24" x14ac:dyDescent="0.2">
      <c r="B34" s="174" t="s">
        <v>178</v>
      </c>
      <c r="C34" s="3"/>
      <c r="D34" s="176" t="s">
        <v>3</v>
      </c>
      <c r="E34" s="176"/>
      <c r="F34" s="176" t="s">
        <v>4</v>
      </c>
      <c r="G34" s="176"/>
      <c r="H34" s="8" t="s">
        <v>124</v>
      </c>
      <c r="I34" s="8" t="s">
        <v>125</v>
      </c>
      <c r="J34" s="8" t="s">
        <v>126</v>
      </c>
      <c r="K34" s="176" t="s">
        <v>127</v>
      </c>
      <c r="L34" s="176"/>
      <c r="N34" s="10"/>
      <c r="P34" s="2"/>
      <c r="Q34" s="2"/>
      <c r="R34" s="2"/>
      <c r="S34" s="2"/>
      <c r="T34" s="11"/>
      <c r="U34" s="11"/>
      <c r="V34" s="11"/>
      <c r="W34" s="11"/>
      <c r="X34" s="11"/>
    </row>
    <row r="35" spans="2:24" x14ac:dyDescent="0.2">
      <c r="B35" s="175"/>
      <c r="C35" s="172" t="s">
        <v>5</v>
      </c>
      <c r="D35" s="4" t="s">
        <v>128</v>
      </c>
      <c r="E35" s="4" t="s">
        <v>181</v>
      </c>
      <c r="F35" s="4" t="s">
        <v>10</v>
      </c>
      <c r="G35" s="4" t="s">
        <v>182</v>
      </c>
      <c r="H35" s="8" t="s">
        <v>288</v>
      </c>
      <c r="I35" s="8" t="s">
        <v>289</v>
      </c>
      <c r="J35" s="8" t="s">
        <v>290</v>
      </c>
      <c r="K35" s="4" t="s">
        <v>123</v>
      </c>
      <c r="L35" s="4" t="s">
        <v>291</v>
      </c>
      <c r="N35" s="10"/>
      <c r="P35" s="2"/>
      <c r="Q35" s="2"/>
      <c r="R35" s="2"/>
      <c r="S35" s="2"/>
      <c r="T35" s="11"/>
      <c r="U35" s="11"/>
      <c r="V35" s="11"/>
      <c r="W35" s="11"/>
      <c r="X35" s="11"/>
    </row>
    <row r="36" spans="2:24" x14ac:dyDescent="0.2">
      <c r="B36" s="175"/>
      <c r="C36" s="173"/>
      <c r="D36" s="4" t="s">
        <v>29</v>
      </c>
      <c r="E36" s="4" t="s">
        <v>207</v>
      </c>
      <c r="F36" s="4" t="s">
        <v>24</v>
      </c>
      <c r="G36" s="4" t="s">
        <v>208</v>
      </c>
      <c r="H36" s="8" t="s">
        <v>23</v>
      </c>
      <c r="I36" s="8" t="s">
        <v>292</v>
      </c>
      <c r="J36" s="8" t="s">
        <v>293</v>
      </c>
      <c r="K36" s="4" t="s">
        <v>99</v>
      </c>
      <c r="L36" s="4" t="s">
        <v>294</v>
      </c>
      <c r="N36" s="10"/>
      <c r="P36" s="2"/>
      <c r="Q36" s="2"/>
      <c r="R36" s="2"/>
      <c r="S36" s="2"/>
      <c r="T36" s="11"/>
      <c r="U36" s="11"/>
      <c r="V36" s="11"/>
      <c r="W36" s="11"/>
      <c r="X36" s="11"/>
    </row>
    <row r="37" spans="2:24" x14ac:dyDescent="0.2">
      <c r="B37" s="175"/>
      <c r="C37" s="172" t="s">
        <v>186</v>
      </c>
      <c r="D37" s="4"/>
      <c r="E37" s="4" t="s">
        <v>140</v>
      </c>
      <c r="F37" s="4"/>
      <c r="G37" s="4" t="s">
        <v>187</v>
      </c>
      <c r="H37" s="8" t="s">
        <v>93</v>
      </c>
      <c r="I37" s="8" t="s">
        <v>295</v>
      </c>
      <c r="J37" s="8" t="s">
        <v>296</v>
      </c>
      <c r="K37" s="4"/>
      <c r="L37" s="4" t="s">
        <v>297</v>
      </c>
      <c r="N37" s="10"/>
      <c r="P37" s="2"/>
      <c r="Q37" s="2"/>
      <c r="R37" s="2"/>
      <c r="S37" s="2"/>
      <c r="T37" s="11"/>
      <c r="U37" s="11"/>
      <c r="V37" s="11"/>
      <c r="W37" s="11"/>
      <c r="X37" s="11"/>
    </row>
    <row r="38" spans="2:24" x14ac:dyDescent="0.2">
      <c r="B38" s="175"/>
      <c r="C38" s="173"/>
      <c r="D38" s="4"/>
      <c r="E38" s="4" t="s">
        <v>211</v>
      </c>
      <c r="F38" s="4"/>
      <c r="G38" s="4" t="s">
        <v>212</v>
      </c>
      <c r="H38" s="8" t="s">
        <v>298</v>
      </c>
      <c r="I38" s="8" t="s">
        <v>299</v>
      </c>
      <c r="J38" s="8" t="s">
        <v>57</v>
      </c>
      <c r="K38" s="4"/>
      <c r="L38" s="4" t="s">
        <v>299</v>
      </c>
      <c r="N38" s="10"/>
      <c r="P38" s="2"/>
      <c r="Q38" s="2"/>
      <c r="R38" s="2"/>
      <c r="S38" s="2"/>
      <c r="T38" s="11"/>
      <c r="U38" s="11"/>
      <c r="V38" s="11"/>
      <c r="W38" s="11"/>
      <c r="X38" s="11"/>
    </row>
    <row r="39" spans="2:24" x14ac:dyDescent="0.2">
      <c r="B39" s="175"/>
      <c r="C39" s="172" t="s">
        <v>228</v>
      </c>
      <c r="D39" s="4"/>
      <c r="E39" s="4" t="s">
        <v>192</v>
      </c>
      <c r="F39" s="4"/>
      <c r="G39" s="4" t="s">
        <v>193</v>
      </c>
      <c r="H39" s="8" t="s">
        <v>300</v>
      </c>
      <c r="I39" s="8" t="s">
        <v>301</v>
      </c>
      <c r="J39" s="8" t="s">
        <v>302</v>
      </c>
      <c r="K39" s="4"/>
      <c r="L39" s="4" t="s">
        <v>303</v>
      </c>
      <c r="N39" s="10"/>
      <c r="P39" s="2"/>
      <c r="Q39" s="2"/>
      <c r="R39" s="2"/>
      <c r="S39" s="2"/>
      <c r="T39" s="11"/>
      <c r="U39" s="11"/>
      <c r="V39" s="11"/>
      <c r="W39" s="11"/>
      <c r="X39" s="11"/>
    </row>
    <row r="40" spans="2:24" x14ac:dyDescent="0.2">
      <c r="B40" s="175"/>
      <c r="C40" s="173"/>
      <c r="D40" s="4"/>
      <c r="E40" s="4" t="s">
        <v>215</v>
      </c>
      <c r="F40" s="4"/>
      <c r="G40" s="4" t="s">
        <v>216</v>
      </c>
      <c r="H40" s="8" t="s">
        <v>304</v>
      </c>
      <c r="I40" s="8" t="s">
        <v>173</v>
      </c>
      <c r="J40" s="8" t="s">
        <v>305</v>
      </c>
      <c r="K40" s="4"/>
      <c r="L40" s="4" t="s">
        <v>306</v>
      </c>
      <c r="N40" s="10"/>
      <c r="P40" s="2"/>
      <c r="Q40" s="2"/>
      <c r="R40" s="2"/>
      <c r="S40" s="2"/>
      <c r="T40" s="11"/>
      <c r="U40" s="11"/>
      <c r="V40" s="11"/>
      <c r="W40" s="11"/>
      <c r="X40" s="11"/>
    </row>
    <row r="41" spans="2:24" x14ac:dyDescent="0.2">
      <c r="B41" s="175"/>
      <c r="C41" s="172" t="s">
        <v>134</v>
      </c>
      <c r="D41" s="4"/>
      <c r="E41" s="4" t="s">
        <v>219</v>
      </c>
      <c r="F41" s="4"/>
      <c r="G41" s="4" t="s">
        <v>80</v>
      </c>
      <c r="H41" s="8" t="s">
        <v>277</v>
      </c>
      <c r="I41" s="8" t="s">
        <v>307</v>
      </c>
      <c r="J41" s="8" t="s">
        <v>308</v>
      </c>
      <c r="K41" s="4"/>
      <c r="L41" s="4" t="s">
        <v>309</v>
      </c>
      <c r="N41" s="10"/>
      <c r="P41" s="2"/>
      <c r="Q41" s="2"/>
      <c r="R41" s="2"/>
      <c r="S41" s="2"/>
      <c r="T41" s="11"/>
      <c r="U41" s="11"/>
      <c r="V41" s="11"/>
      <c r="W41" s="11"/>
      <c r="X41" s="11"/>
    </row>
    <row r="42" spans="2:24" x14ac:dyDescent="0.2">
      <c r="B42" s="175"/>
      <c r="C42" s="173"/>
      <c r="D42" s="4"/>
      <c r="E42" s="4" t="s">
        <v>222</v>
      </c>
      <c r="F42" s="4"/>
      <c r="G42" s="4" t="s">
        <v>223</v>
      </c>
      <c r="H42" s="8" t="s">
        <v>75</v>
      </c>
      <c r="I42" s="8" t="s">
        <v>24</v>
      </c>
      <c r="J42" s="8" t="s">
        <v>119</v>
      </c>
      <c r="K42" s="4"/>
      <c r="L42" s="4" t="s">
        <v>215</v>
      </c>
      <c r="N42" s="10"/>
      <c r="O42" s="41"/>
      <c r="P42" s="42"/>
      <c r="Q42" s="42"/>
      <c r="R42" s="71"/>
      <c r="S42" s="71"/>
      <c r="T42" s="11"/>
      <c r="U42" s="11"/>
      <c r="V42" s="11"/>
      <c r="W42" s="11"/>
      <c r="X42" s="11"/>
    </row>
    <row r="43" spans="2:24" x14ac:dyDescent="0.2">
      <c r="B43" s="175"/>
      <c r="C43" s="172" t="s">
        <v>139</v>
      </c>
      <c r="D43" s="4"/>
      <c r="E43" s="4" t="s">
        <v>200</v>
      </c>
      <c r="F43" s="4"/>
      <c r="G43" s="4" t="s">
        <v>201</v>
      </c>
      <c r="H43" s="8" t="s">
        <v>310</v>
      </c>
      <c r="I43" s="8" t="s">
        <v>172</v>
      </c>
      <c r="J43" s="8" t="s">
        <v>311</v>
      </c>
      <c r="K43" s="4"/>
      <c r="L43" s="4" t="s">
        <v>308</v>
      </c>
      <c r="N43" s="10"/>
      <c r="O43" s="43"/>
      <c r="P43" s="155"/>
      <c r="Q43" s="155"/>
      <c r="R43" s="147"/>
      <c r="S43" s="147"/>
      <c r="T43" s="11"/>
      <c r="U43" s="11"/>
      <c r="V43" s="11"/>
      <c r="W43" s="11"/>
      <c r="X43" s="11"/>
    </row>
    <row r="44" spans="2:24" x14ac:dyDescent="0.2">
      <c r="B44" s="175"/>
      <c r="C44" s="173"/>
      <c r="D44" s="4"/>
      <c r="E44" s="4" t="s">
        <v>143</v>
      </c>
      <c r="F44" s="4"/>
      <c r="G44" s="4" t="s">
        <v>225</v>
      </c>
      <c r="H44" s="8" t="s">
        <v>312</v>
      </c>
      <c r="I44" s="8" t="s">
        <v>313</v>
      </c>
      <c r="J44" s="8" t="s">
        <v>314</v>
      </c>
      <c r="K44" s="4"/>
      <c r="L44" s="4" t="s">
        <v>315</v>
      </c>
      <c r="N44" s="10"/>
      <c r="O44" s="156"/>
      <c r="P44" s="44"/>
      <c r="Q44" s="44"/>
      <c r="R44" s="73"/>
      <c r="S44" s="73"/>
      <c r="T44" s="11"/>
      <c r="U44" s="11"/>
      <c r="V44" s="11"/>
      <c r="W44" s="11"/>
      <c r="X44" s="11"/>
    </row>
    <row r="45" spans="2:24" x14ac:dyDescent="0.2">
      <c r="B45" s="175"/>
      <c r="C45" s="3" t="s">
        <v>14</v>
      </c>
      <c r="D45" s="4" t="s">
        <v>38</v>
      </c>
      <c r="E45" s="4" t="s">
        <v>137</v>
      </c>
      <c r="F45" s="4" t="s">
        <v>38</v>
      </c>
      <c r="G45" s="4" t="s">
        <v>137</v>
      </c>
      <c r="H45" s="12" t="s">
        <v>174</v>
      </c>
      <c r="I45" s="12" t="s">
        <v>174</v>
      </c>
      <c r="J45" s="12" t="s">
        <v>174</v>
      </c>
      <c r="K45" s="5" t="s">
        <v>175</v>
      </c>
      <c r="L45" s="5" t="s">
        <v>176</v>
      </c>
      <c r="N45" s="10"/>
      <c r="O45" s="156"/>
      <c r="P45" s="44"/>
      <c r="Q45" s="44"/>
      <c r="R45" s="73"/>
      <c r="S45" s="73"/>
      <c r="T45" s="11"/>
      <c r="U45" s="11"/>
      <c r="V45" s="11"/>
      <c r="W45" s="11"/>
      <c r="X45" s="11"/>
    </row>
    <row r="46" spans="2:24" x14ac:dyDescent="0.2">
      <c r="O46" s="156"/>
      <c r="P46" s="44"/>
      <c r="Q46" s="44"/>
      <c r="R46" s="73"/>
      <c r="S46" s="73"/>
    </row>
    <row r="47" spans="2:24" x14ac:dyDescent="0.2">
      <c r="B47" s="174" t="s">
        <v>130</v>
      </c>
      <c r="C47" s="3"/>
      <c r="D47" s="176" t="s">
        <v>0</v>
      </c>
      <c r="E47" s="176"/>
      <c r="F47" s="176" t="s">
        <v>1</v>
      </c>
      <c r="G47" s="176"/>
      <c r="H47" s="24" t="s">
        <v>124</v>
      </c>
      <c r="I47" s="24" t="s">
        <v>125</v>
      </c>
      <c r="J47" s="24" t="s">
        <v>126</v>
      </c>
      <c r="K47" s="177" t="s">
        <v>2</v>
      </c>
      <c r="L47" s="177"/>
      <c r="O47" s="156"/>
      <c r="P47" s="44"/>
      <c r="Q47" s="44"/>
      <c r="R47" s="73"/>
      <c r="S47" s="73"/>
    </row>
    <row r="48" spans="2:24" x14ac:dyDescent="0.2">
      <c r="B48" s="175"/>
      <c r="C48" s="172" t="s">
        <v>5</v>
      </c>
      <c r="D48" s="7" t="s">
        <v>6</v>
      </c>
      <c r="E48" s="4" t="s">
        <v>67</v>
      </c>
      <c r="F48" s="4" t="s">
        <v>7</v>
      </c>
      <c r="G48" s="4" t="s">
        <v>68</v>
      </c>
      <c r="H48" s="24" t="s">
        <v>69</v>
      </c>
      <c r="I48" s="24" t="s">
        <v>70</v>
      </c>
      <c r="J48" s="24" t="s">
        <v>71</v>
      </c>
      <c r="K48" s="24" t="s">
        <v>9</v>
      </c>
      <c r="L48" s="24" t="s">
        <v>72</v>
      </c>
      <c r="O48" s="156"/>
      <c r="P48" s="44"/>
      <c r="Q48" s="44"/>
      <c r="R48" s="73"/>
      <c r="S48" s="73"/>
    </row>
    <row r="49" spans="2:21" x14ac:dyDescent="0.2">
      <c r="B49" s="175"/>
      <c r="C49" s="173"/>
      <c r="D49" s="4" t="s">
        <v>16</v>
      </c>
      <c r="E49" s="4" t="s">
        <v>30</v>
      </c>
      <c r="F49" s="4" t="s">
        <v>18</v>
      </c>
      <c r="G49" s="4" t="s">
        <v>73</v>
      </c>
      <c r="H49" s="24" t="s">
        <v>74</v>
      </c>
      <c r="I49" s="24" t="s">
        <v>51</v>
      </c>
      <c r="J49" s="24" t="s">
        <v>75</v>
      </c>
      <c r="K49" s="24" t="s">
        <v>22</v>
      </c>
      <c r="L49" s="24" t="s">
        <v>30</v>
      </c>
      <c r="O49" s="157"/>
      <c r="P49" s="45"/>
      <c r="Q49" s="45"/>
      <c r="R49" s="74"/>
      <c r="S49" s="74"/>
    </row>
    <row r="50" spans="2:21" x14ac:dyDescent="0.2">
      <c r="B50" s="175"/>
      <c r="C50" s="172" t="s">
        <v>11</v>
      </c>
      <c r="D50" s="4"/>
      <c r="E50" s="4" t="s">
        <v>76</v>
      </c>
      <c r="F50" s="4"/>
      <c r="G50" s="4" t="s">
        <v>77</v>
      </c>
      <c r="H50" s="24" t="s">
        <v>53</v>
      </c>
      <c r="I50" s="24" t="s">
        <v>56</v>
      </c>
      <c r="J50" s="24" t="s">
        <v>55</v>
      </c>
      <c r="K50" s="24"/>
      <c r="L50" s="24" t="s">
        <v>41</v>
      </c>
      <c r="O50" s="46"/>
      <c r="P50" s="44"/>
      <c r="Q50" s="44"/>
      <c r="R50" s="73"/>
      <c r="S50" s="73"/>
    </row>
    <row r="51" spans="2:21" x14ac:dyDescent="0.2">
      <c r="B51" s="175"/>
      <c r="C51" s="173"/>
      <c r="D51" s="4"/>
      <c r="E51" s="4" t="s">
        <v>26</v>
      </c>
      <c r="F51" s="4"/>
      <c r="G51" s="4" t="s">
        <v>78</v>
      </c>
      <c r="H51" s="24" t="s">
        <v>57</v>
      </c>
      <c r="I51" s="24" t="s">
        <v>28</v>
      </c>
      <c r="J51" s="24" t="s">
        <v>26</v>
      </c>
      <c r="K51" s="24"/>
      <c r="L51" s="24" t="s">
        <v>26</v>
      </c>
      <c r="O51" s="46"/>
      <c r="P51" s="44"/>
      <c r="Q51" s="44"/>
      <c r="R51" s="73"/>
      <c r="S51" s="73"/>
    </row>
    <row r="52" spans="2:21" x14ac:dyDescent="0.2">
      <c r="B52" s="175"/>
      <c r="C52" s="172" t="s">
        <v>79</v>
      </c>
      <c r="D52" s="4"/>
      <c r="E52" s="4" t="s">
        <v>80</v>
      </c>
      <c r="F52" s="4"/>
      <c r="G52" s="4" t="s">
        <v>81</v>
      </c>
      <c r="H52" s="24" t="s">
        <v>82</v>
      </c>
      <c r="I52" s="24" t="s">
        <v>83</v>
      </c>
      <c r="J52" s="24" t="s">
        <v>84</v>
      </c>
      <c r="K52" s="24"/>
      <c r="L52" s="24" t="s">
        <v>42</v>
      </c>
      <c r="O52" s="46"/>
      <c r="P52" s="44"/>
      <c r="Q52" s="44"/>
      <c r="R52" s="73"/>
      <c r="S52" s="73"/>
    </row>
    <row r="53" spans="2:21" x14ac:dyDescent="0.2">
      <c r="B53" s="175"/>
      <c r="C53" s="173"/>
      <c r="D53" s="4"/>
      <c r="E53" s="4" t="s">
        <v>85</v>
      </c>
      <c r="F53" s="4"/>
      <c r="G53" s="4" t="s">
        <v>86</v>
      </c>
      <c r="H53" s="24" t="s">
        <v>87</v>
      </c>
      <c r="I53" s="24" t="s">
        <v>88</v>
      </c>
      <c r="J53" s="24" t="s">
        <v>36</v>
      </c>
      <c r="K53" s="24"/>
      <c r="L53" s="24" t="s">
        <v>89</v>
      </c>
      <c r="O53" s="47"/>
      <c r="P53" s="45"/>
      <c r="Q53" s="45"/>
      <c r="R53" s="74"/>
      <c r="S53" s="74"/>
    </row>
    <row r="54" spans="2:21" x14ac:dyDescent="0.2">
      <c r="B54" s="175"/>
      <c r="C54" s="3" t="s">
        <v>14</v>
      </c>
      <c r="D54" s="4" t="s">
        <v>38</v>
      </c>
      <c r="E54" s="4" t="s">
        <v>90</v>
      </c>
      <c r="F54" s="4" t="s">
        <v>38</v>
      </c>
      <c r="G54" s="4" t="s">
        <v>90</v>
      </c>
      <c r="H54" s="24" t="s">
        <v>91</v>
      </c>
      <c r="I54" s="24" t="s">
        <v>91</v>
      </c>
      <c r="J54" s="24" t="s">
        <v>91</v>
      </c>
      <c r="K54" s="24" t="s">
        <v>40</v>
      </c>
      <c r="L54" s="24" t="s">
        <v>92</v>
      </c>
    </row>
    <row r="56" spans="2:21" ht="16" customHeight="1" x14ac:dyDescent="0.2">
      <c r="B56" s="174" t="s">
        <v>131</v>
      </c>
      <c r="C56" s="3"/>
      <c r="D56" s="176" t="s">
        <v>3</v>
      </c>
      <c r="E56" s="176"/>
      <c r="F56" s="176" t="s">
        <v>4</v>
      </c>
      <c r="G56" s="176"/>
      <c r="H56" s="8" t="s">
        <v>124</v>
      </c>
      <c r="I56" s="8" t="s">
        <v>125</v>
      </c>
      <c r="J56" s="8" t="s">
        <v>126</v>
      </c>
      <c r="K56" s="214" t="s">
        <v>127</v>
      </c>
      <c r="L56" s="214"/>
      <c r="P56" s="147" t="s">
        <v>742</v>
      </c>
      <c r="Q56" s="147"/>
      <c r="R56" s="214" t="s">
        <v>127</v>
      </c>
      <c r="S56" s="214"/>
      <c r="U56" s="217" t="s">
        <v>744</v>
      </c>
    </row>
    <row r="57" spans="2:21" x14ac:dyDescent="0.2">
      <c r="B57" s="175"/>
      <c r="C57" s="172" t="s">
        <v>5</v>
      </c>
      <c r="D57" s="7" t="s">
        <v>128</v>
      </c>
      <c r="E57" s="4" t="s">
        <v>205</v>
      </c>
      <c r="F57" s="4" t="s">
        <v>10</v>
      </c>
      <c r="G57" s="4" t="s">
        <v>260</v>
      </c>
      <c r="H57" s="8" t="s">
        <v>153</v>
      </c>
      <c r="I57" s="8" t="s">
        <v>261</v>
      </c>
      <c r="J57" s="8" t="s">
        <v>262</v>
      </c>
      <c r="K57" s="215" t="s">
        <v>64</v>
      </c>
      <c r="L57" s="215" t="s">
        <v>53</v>
      </c>
      <c r="O57" s="172" t="s">
        <v>5</v>
      </c>
      <c r="R57" s="215" t="s">
        <v>64</v>
      </c>
      <c r="S57" s="215" t="s">
        <v>53</v>
      </c>
      <c r="U57" s="217" t="s">
        <v>745</v>
      </c>
    </row>
    <row r="58" spans="2:21" x14ac:dyDescent="0.2">
      <c r="B58" s="175"/>
      <c r="C58" s="173"/>
      <c r="D58" s="4" t="s">
        <v>29</v>
      </c>
      <c r="E58" s="4" t="s">
        <v>235</v>
      </c>
      <c r="F58" s="4" t="s">
        <v>24</v>
      </c>
      <c r="G58" s="4" t="s">
        <v>263</v>
      </c>
      <c r="H58" s="8" t="s">
        <v>264</v>
      </c>
      <c r="I58" s="8" t="s">
        <v>74</v>
      </c>
      <c r="J58" s="8" t="s">
        <v>238</v>
      </c>
      <c r="K58" s="215" t="s">
        <v>65</v>
      </c>
      <c r="L58" s="215" t="s">
        <v>239</v>
      </c>
      <c r="O58" s="173"/>
      <c r="R58" s="215" t="s">
        <v>65</v>
      </c>
      <c r="S58" s="215" t="s">
        <v>239</v>
      </c>
      <c r="U58" s="217" t="s">
        <v>746</v>
      </c>
    </row>
    <row r="59" spans="2:21" x14ac:dyDescent="0.2">
      <c r="B59" s="175"/>
      <c r="C59" s="172" t="s">
        <v>186</v>
      </c>
      <c r="D59" s="4"/>
      <c r="E59" s="4" t="s">
        <v>265</v>
      </c>
      <c r="F59" s="4"/>
      <c r="G59" s="4" t="s">
        <v>266</v>
      </c>
      <c r="H59" s="8" t="s">
        <v>64</v>
      </c>
      <c r="I59" s="8" t="s">
        <v>267</v>
      </c>
      <c r="J59" s="8" t="s">
        <v>253</v>
      </c>
      <c r="K59" s="215"/>
      <c r="L59" s="215" t="s">
        <v>97</v>
      </c>
      <c r="O59" s="172" t="s">
        <v>186</v>
      </c>
      <c r="R59" s="215"/>
      <c r="S59" s="215" t="s">
        <v>97</v>
      </c>
      <c r="U59" s="217" t="s">
        <v>747</v>
      </c>
    </row>
    <row r="60" spans="2:21" x14ac:dyDescent="0.2">
      <c r="B60" s="175"/>
      <c r="C60" s="173"/>
      <c r="D60" s="4"/>
      <c r="E60" s="4" t="s">
        <v>213</v>
      </c>
      <c r="F60" s="4"/>
      <c r="G60" s="4" t="s">
        <v>78</v>
      </c>
      <c r="H60" s="8" t="s">
        <v>16</v>
      </c>
      <c r="I60" s="8" t="s">
        <v>213</v>
      </c>
      <c r="J60" s="8" t="s">
        <v>211</v>
      </c>
      <c r="K60" s="215"/>
      <c r="L60" s="215" t="s">
        <v>241</v>
      </c>
      <c r="O60" s="173"/>
      <c r="R60" s="215"/>
      <c r="S60" s="215" t="s">
        <v>241</v>
      </c>
      <c r="U60" s="217" t="s">
        <v>748</v>
      </c>
    </row>
    <row r="61" spans="2:21" x14ac:dyDescent="0.2">
      <c r="B61" s="175"/>
      <c r="C61" s="172" t="s">
        <v>229</v>
      </c>
      <c r="D61" s="4"/>
      <c r="E61" s="4" t="s">
        <v>268</v>
      </c>
      <c r="F61" s="4"/>
      <c r="G61" s="4" t="s">
        <v>269</v>
      </c>
      <c r="H61" s="8" t="s">
        <v>270</v>
      </c>
      <c r="I61" s="8" t="s">
        <v>271</v>
      </c>
      <c r="J61" s="8" t="s">
        <v>272</v>
      </c>
      <c r="K61" s="215"/>
      <c r="L61" s="215" t="s">
        <v>273</v>
      </c>
      <c r="O61" s="172" t="s">
        <v>229</v>
      </c>
      <c r="R61" s="215"/>
      <c r="S61" s="215" t="s">
        <v>273</v>
      </c>
      <c r="U61" s="217" t="s">
        <v>749</v>
      </c>
    </row>
    <row r="62" spans="2:21" x14ac:dyDescent="0.2">
      <c r="B62" s="175"/>
      <c r="C62" s="173"/>
      <c r="D62" s="4"/>
      <c r="E62" s="4" t="s">
        <v>163</v>
      </c>
      <c r="F62" s="4"/>
      <c r="G62" s="4" t="s">
        <v>274</v>
      </c>
      <c r="H62" s="8" t="s">
        <v>143</v>
      </c>
      <c r="I62" s="8" t="s">
        <v>275</v>
      </c>
      <c r="J62" s="8" t="s">
        <v>89</v>
      </c>
      <c r="K62" s="215"/>
      <c r="L62" s="215" t="s">
        <v>217</v>
      </c>
      <c r="O62" s="173"/>
      <c r="R62" s="215"/>
      <c r="S62" s="215" t="s">
        <v>217</v>
      </c>
      <c r="U62" s="217" t="s">
        <v>750</v>
      </c>
    </row>
    <row r="63" spans="2:21" x14ac:dyDescent="0.2">
      <c r="B63" s="175"/>
      <c r="C63" s="172" t="s">
        <v>134</v>
      </c>
      <c r="D63" s="4"/>
      <c r="E63" s="4" t="s">
        <v>276</v>
      </c>
      <c r="F63" s="4"/>
      <c r="G63" s="4" t="s">
        <v>277</v>
      </c>
      <c r="H63" s="8" t="s">
        <v>278</v>
      </c>
      <c r="I63" s="8" t="s">
        <v>279</v>
      </c>
      <c r="J63" s="8" t="s">
        <v>280</v>
      </c>
      <c r="K63" s="215"/>
      <c r="L63" s="215" t="s">
        <v>140</v>
      </c>
      <c r="O63" s="172" t="s">
        <v>134</v>
      </c>
      <c r="R63" s="215"/>
      <c r="S63" s="215" t="s">
        <v>140</v>
      </c>
      <c r="U63" s="217" t="s">
        <v>751</v>
      </c>
    </row>
    <row r="64" spans="2:21" x14ac:dyDescent="0.2">
      <c r="B64" s="175"/>
      <c r="C64" s="173"/>
      <c r="D64" s="4"/>
      <c r="E64" s="4" t="s">
        <v>251</v>
      </c>
      <c r="F64" s="4"/>
      <c r="G64" s="4" t="s">
        <v>20</v>
      </c>
      <c r="H64" s="8" t="s">
        <v>222</v>
      </c>
      <c r="I64" s="8" t="s">
        <v>218</v>
      </c>
      <c r="J64" s="8" t="s">
        <v>29</v>
      </c>
      <c r="K64" s="215"/>
      <c r="L64" s="215" t="s">
        <v>213</v>
      </c>
      <c r="O64" s="173"/>
      <c r="R64" s="215"/>
      <c r="S64" s="215" t="s">
        <v>213</v>
      </c>
      <c r="U64" s="217" t="s">
        <v>752</v>
      </c>
    </row>
    <row r="65" spans="2:21" x14ac:dyDescent="0.2">
      <c r="B65" s="175"/>
      <c r="C65" s="172" t="s">
        <v>149</v>
      </c>
      <c r="D65" s="4"/>
      <c r="E65" s="4" t="s">
        <v>281</v>
      </c>
      <c r="F65" s="4"/>
      <c r="G65" s="4" t="s">
        <v>112</v>
      </c>
      <c r="H65" s="8" t="s">
        <v>282</v>
      </c>
      <c r="I65" s="8" t="s">
        <v>283</v>
      </c>
      <c r="J65" s="8" t="s">
        <v>284</v>
      </c>
      <c r="K65" s="215"/>
      <c r="L65" s="215" t="s">
        <v>285</v>
      </c>
      <c r="O65" s="172" t="s">
        <v>149</v>
      </c>
      <c r="Q65" s="1" t="s">
        <v>743</v>
      </c>
      <c r="R65" s="215"/>
      <c r="S65" s="215" t="s">
        <v>285</v>
      </c>
      <c r="U65" s="217" t="s">
        <v>753</v>
      </c>
    </row>
    <row r="66" spans="2:21" x14ac:dyDescent="0.2">
      <c r="B66" s="175"/>
      <c r="C66" s="173"/>
      <c r="D66" s="4"/>
      <c r="E66" s="4" t="s">
        <v>210</v>
      </c>
      <c r="F66" s="4"/>
      <c r="G66" s="4" t="s">
        <v>286</v>
      </c>
      <c r="H66" s="8" t="s">
        <v>95</v>
      </c>
      <c r="I66" s="8" t="s">
        <v>287</v>
      </c>
      <c r="J66" s="8" t="s">
        <v>21</v>
      </c>
      <c r="K66" s="215"/>
      <c r="L66" s="215" t="s">
        <v>60</v>
      </c>
      <c r="O66" s="173"/>
      <c r="R66" s="215"/>
      <c r="S66" s="215" t="s">
        <v>60</v>
      </c>
      <c r="U66" s="217" t="s">
        <v>754</v>
      </c>
    </row>
    <row r="67" spans="2:21" x14ac:dyDescent="0.2">
      <c r="B67" s="175"/>
      <c r="C67" s="3" t="s">
        <v>14</v>
      </c>
      <c r="D67" s="4" t="s">
        <v>38</v>
      </c>
      <c r="E67" s="4" t="s">
        <v>150</v>
      </c>
      <c r="F67" s="4" t="s">
        <v>38</v>
      </c>
      <c r="G67" s="4" t="s">
        <v>150</v>
      </c>
      <c r="H67" s="8" t="s">
        <v>151</v>
      </c>
      <c r="I67" s="8" t="s">
        <v>151</v>
      </c>
      <c r="J67" s="8" t="s">
        <v>151</v>
      </c>
      <c r="K67" s="215" t="s">
        <v>66</v>
      </c>
      <c r="L67" s="215" t="s">
        <v>152</v>
      </c>
      <c r="O67" s="3" t="s">
        <v>14</v>
      </c>
      <c r="R67" s="215" t="s">
        <v>66</v>
      </c>
      <c r="S67" s="215" t="s">
        <v>152</v>
      </c>
      <c r="U67" s="217" t="s">
        <v>755</v>
      </c>
    </row>
    <row r="68" spans="2:21" x14ac:dyDescent="0.2">
      <c r="U68" s="217" t="s">
        <v>756</v>
      </c>
    </row>
    <row r="69" spans="2:21" x14ac:dyDescent="0.2">
      <c r="B69" s="174" t="s">
        <v>132</v>
      </c>
      <c r="C69" s="3"/>
      <c r="D69" s="176" t="s">
        <v>0</v>
      </c>
      <c r="E69" s="176"/>
      <c r="F69" s="176" t="s">
        <v>1</v>
      </c>
      <c r="G69" s="176"/>
      <c r="H69" s="8" t="s">
        <v>124</v>
      </c>
      <c r="I69" s="8" t="s">
        <v>125</v>
      </c>
      <c r="J69" s="8" t="s">
        <v>126</v>
      </c>
      <c r="K69" s="176" t="s">
        <v>2</v>
      </c>
      <c r="L69" s="176"/>
      <c r="U69" s="217" t="s">
        <v>746</v>
      </c>
    </row>
    <row r="70" spans="2:21" x14ac:dyDescent="0.2">
      <c r="B70" s="175"/>
      <c r="C70" s="172" t="s">
        <v>5</v>
      </c>
      <c r="D70" s="4" t="s">
        <v>6</v>
      </c>
      <c r="E70" s="4" t="s">
        <v>101</v>
      </c>
      <c r="F70" s="4" t="s">
        <v>7</v>
      </c>
      <c r="G70" s="4" t="s">
        <v>102</v>
      </c>
      <c r="H70" s="8" t="s">
        <v>103</v>
      </c>
      <c r="I70" s="8" t="s">
        <v>104</v>
      </c>
      <c r="J70" s="8" t="s">
        <v>105</v>
      </c>
      <c r="K70" s="4" t="s">
        <v>9</v>
      </c>
      <c r="L70" s="4" t="s">
        <v>106</v>
      </c>
      <c r="U70" s="217" t="s">
        <v>757</v>
      </c>
    </row>
    <row r="71" spans="2:21" x14ac:dyDescent="0.2">
      <c r="B71" s="175"/>
      <c r="C71" s="173"/>
      <c r="D71" s="4" t="s">
        <v>16</v>
      </c>
      <c r="E71" s="4" t="s">
        <v>30</v>
      </c>
      <c r="F71" s="4" t="s">
        <v>18</v>
      </c>
      <c r="G71" s="4" t="s">
        <v>107</v>
      </c>
      <c r="H71" s="8" t="s">
        <v>94</v>
      </c>
      <c r="I71" s="8" t="s">
        <v>51</v>
      </c>
      <c r="J71" s="8" t="s">
        <v>75</v>
      </c>
      <c r="K71" s="4" t="s">
        <v>22</v>
      </c>
      <c r="L71" s="4" t="s">
        <v>30</v>
      </c>
      <c r="O71" s="3"/>
      <c r="R71" s="176" t="s">
        <v>3</v>
      </c>
      <c r="S71" s="176"/>
      <c r="U71" s="217" t="s">
        <v>758</v>
      </c>
    </row>
    <row r="72" spans="2:21" x14ac:dyDescent="0.2">
      <c r="B72" s="175"/>
      <c r="C72" s="172" t="s">
        <v>11</v>
      </c>
      <c r="D72" s="4"/>
      <c r="E72" s="4" t="s">
        <v>108</v>
      </c>
      <c r="F72" s="4"/>
      <c r="G72" s="4" t="s">
        <v>109</v>
      </c>
      <c r="H72" s="8" t="s">
        <v>110</v>
      </c>
      <c r="I72" s="8" t="s">
        <v>54</v>
      </c>
      <c r="J72" s="8" t="s">
        <v>55</v>
      </c>
      <c r="K72" s="4"/>
      <c r="L72" s="4" t="s">
        <v>63</v>
      </c>
      <c r="O72" s="172" t="s">
        <v>5</v>
      </c>
      <c r="R72" s="7" t="s">
        <v>128</v>
      </c>
      <c r="S72" s="4" t="s">
        <v>205</v>
      </c>
      <c r="U72" s="217" t="s">
        <v>759</v>
      </c>
    </row>
    <row r="73" spans="2:21" x14ac:dyDescent="0.2">
      <c r="B73" s="175"/>
      <c r="C73" s="173"/>
      <c r="D73" s="4"/>
      <c r="E73" s="4" t="s">
        <v>26</v>
      </c>
      <c r="F73" s="4"/>
      <c r="G73" s="4" t="s">
        <v>27</v>
      </c>
      <c r="H73" s="8" t="s">
        <v>57</v>
      </c>
      <c r="I73" s="8" t="s">
        <v>28</v>
      </c>
      <c r="J73" s="8" t="s">
        <v>26</v>
      </c>
      <c r="K73" s="4"/>
      <c r="L73" s="4" t="s">
        <v>26</v>
      </c>
      <c r="O73" s="173"/>
      <c r="R73" s="4" t="s">
        <v>29</v>
      </c>
      <c r="S73" s="4" t="s">
        <v>235</v>
      </c>
      <c r="U73" s="217" t="s">
        <v>760</v>
      </c>
    </row>
    <row r="74" spans="2:21" x14ac:dyDescent="0.2">
      <c r="B74" s="175"/>
      <c r="C74" s="172" t="s">
        <v>111</v>
      </c>
      <c r="D74" s="4"/>
      <c r="E74" s="4" t="s">
        <v>112</v>
      </c>
      <c r="F74" s="4"/>
      <c r="G74" s="4" t="s">
        <v>105</v>
      </c>
      <c r="H74" s="8" t="s">
        <v>113</v>
      </c>
      <c r="I74" s="8" t="s">
        <v>114</v>
      </c>
      <c r="J74" s="8" t="s">
        <v>115</v>
      </c>
      <c r="K74" s="4"/>
      <c r="L74" s="4" t="s">
        <v>93</v>
      </c>
      <c r="O74" s="172" t="s">
        <v>186</v>
      </c>
      <c r="R74" s="4"/>
      <c r="S74" s="4" t="s">
        <v>265</v>
      </c>
      <c r="U74" s="217" t="s">
        <v>761</v>
      </c>
    </row>
    <row r="75" spans="2:21" x14ac:dyDescent="0.2">
      <c r="B75" s="175"/>
      <c r="C75" s="173"/>
      <c r="D75" s="4"/>
      <c r="E75" s="4" t="s">
        <v>116</v>
      </c>
      <c r="F75" s="4"/>
      <c r="G75" s="4" t="s">
        <v>117</v>
      </c>
      <c r="H75" s="8" t="s">
        <v>118</v>
      </c>
      <c r="I75" s="8" t="s">
        <v>119</v>
      </c>
      <c r="J75" s="8" t="s">
        <v>36</v>
      </c>
      <c r="K75" s="4"/>
      <c r="L75" s="4" t="s">
        <v>89</v>
      </c>
      <c r="O75" s="173"/>
      <c r="R75" s="4"/>
      <c r="S75" s="4" t="s">
        <v>213</v>
      </c>
      <c r="U75" s="217" t="s">
        <v>744</v>
      </c>
    </row>
    <row r="76" spans="2:21" x14ac:dyDescent="0.2">
      <c r="B76" s="175"/>
      <c r="C76" s="3" t="s">
        <v>14</v>
      </c>
      <c r="D76" s="4" t="s">
        <v>38</v>
      </c>
      <c r="E76" s="4" t="s">
        <v>120</v>
      </c>
      <c r="F76" s="4" t="s">
        <v>38</v>
      </c>
      <c r="G76" s="4" t="s">
        <v>120</v>
      </c>
      <c r="H76" s="8" t="s">
        <v>121</v>
      </c>
      <c r="I76" s="8" t="s">
        <v>121</v>
      </c>
      <c r="J76" s="8" t="s">
        <v>121</v>
      </c>
      <c r="K76" s="4" t="s">
        <v>40</v>
      </c>
      <c r="L76" s="4" t="s">
        <v>122</v>
      </c>
      <c r="O76" s="172" t="s">
        <v>229</v>
      </c>
      <c r="R76" s="4"/>
      <c r="S76" s="4" t="s">
        <v>268</v>
      </c>
      <c r="U76" s="217" t="s">
        <v>588</v>
      </c>
    </row>
    <row r="77" spans="2:21" x14ac:dyDescent="0.2">
      <c r="O77" s="173"/>
      <c r="R77" s="4"/>
      <c r="S77" s="4" t="s">
        <v>163</v>
      </c>
    </row>
    <row r="78" spans="2:21" x14ac:dyDescent="0.2">
      <c r="B78" s="174" t="s">
        <v>133</v>
      </c>
      <c r="C78" s="3"/>
      <c r="D78" s="176" t="s">
        <v>3</v>
      </c>
      <c r="E78" s="176"/>
      <c r="F78" s="176" t="s">
        <v>4</v>
      </c>
      <c r="G78" s="176"/>
      <c r="H78" s="8" t="s">
        <v>124</v>
      </c>
      <c r="I78" s="8" t="s">
        <v>125</v>
      </c>
      <c r="J78" s="8" t="s">
        <v>126</v>
      </c>
      <c r="K78" s="176" t="s">
        <v>127</v>
      </c>
      <c r="L78" s="176"/>
      <c r="O78" s="172" t="s">
        <v>134</v>
      </c>
      <c r="R78" s="4"/>
      <c r="S78" s="4" t="s">
        <v>276</v>
      </c>
    </row>
    <row r="79" spans="2:21" x14ac:dyDescent="0.2">
      <c r="B79" s="175"/>
      <c r="C79" s="172" t="s">
        <v>5</v>
      </c>
      <c r="D79" s="4" t="s">
        <v>128</v>
      </c>
      <c r="E79" s="4" t="s">
        <v>231</v>
      </c>
      <c r="F79" s="4" t="s">
        <v>10</v>
      </c>
      <c r="G79" s="4" t="s">
        <v>232</v>
      </c>
      <c r="H79" s="8" t="s">
        <v>114</v>
      </c>
      <c r="I79" s="8" t="s">
        <v>233</v>
      </c>
      <c r="J79" s="8" t="s">
        <v>234</v>
      </c>
      <c r="K79" s="4" t="s">
        <v>64</v>
      </c>
      <c r="L79" s="4" t="s">
        <v>153</v>
      </c>
      <c r="O79" s="173"/>
      <c r="R79" s="4"/>
      <c r="S79" s="4" t="s">
        <v>251</v>
      </c>
    </row>
    <row r="80" spans="2:21" x14ac:dyDescent="0.2">
      <c r="B80" s="175"/>
      <c r="C80" s="173"/>
      <c r="D80" s="4" t="s">
        <v>29</v>
      </c>
      <c r="E80" s="4" t="s">
        <v>235</v>
      </c>
      <c r="F80" s="4" t="s">
        <v>24</v>
      </c>
      <c r="G80" s="4" t="s">
        <v>236</v>
      </c>
      <c r="H80" s="8" t="s">
        <v>237</v>
      </c>
      <c r="I80" s="8" t="s">
        <v>74</v>
      </c>
      <c r="J80" s="8" t="s">
        <v>238</v>
      </c>
      <c r="K80" s="4" t="s">
        <v>65</v>
      </c>
      <c r="L80" s="4" t="s">
        <v>239</v>
      </c>
      <c r="O80" s="172" t="s">
        <v>149</v>
      </c>
      <c r="R80" s="4"/>
      <c r="S80" s="4" t="s">
        <v>281</v>
      </c>
    </row>
    <row r="81" spans="2:19" x14ac:dyDescent="0.2">
      <c r="B81" s="175"/>
      <c r="C81" s="172" t="s">
        <v>186</v>
      </c>
      <c r="D81" s="4"/>
      <c r="E81" s="4" t="s">
        <v>9</v>
      </c>
      <c r="F81" s="4"/>
      <c r="G81" s="4" t="s">
        <v>147</v>
      </c>
      <c r="H81" s="8" t="s">
        <v>240</v>
      </c>
      <c r="I81" s="8" t="s">
        <v>188</v>
      </c>
      <c r="J81" s="8" t="s">
        <v>63</v>
      </c>
      <c r="K81" s="4"/>
      <c r="L81" s="4" t="s">
        <v>96</v>
      </c>
      <c r="O81" s="173"/>
      <c r="R81" s="4"/>
      <c r="S81" s="4" t="s">
        <v>210</v>
      </c>
    </row>
    <row r="82" spans="2:19" x14ac:dyDescent="0.2">
      <c r="B82" s="175"/>
      <c r="C82" s="173"/>
      <c r="D82" s="4"/>
      <c r="E82" s="4" t="s">
        <v>16</v>
      </c>
      <c r="F82" s="4"/>
      <c r="G82" s="4" t="s">
        <v>27</v>
      </c>
      <c r="H82" s="8" t="s">
        <v>16</v>
      </c>
      <c r="I82" s="8" t="s">
        <v>16</v>
      </c>
      <c r="J82" s="8" t="s">
        <v>65</v>
      </c>
      <c r="K82" s="4"/>
      <c r="L82" s="4" t="s">
        <v>241</v>
      </c>
      <c r="O82" s="3" t="s">
        <v>14</v>
      </c>
      <c r="R82" s="4" t="s">
        <v>38</v>
      </c>
      <c r="S82" s="4" t="s">
        <v>150</v>
      </c>
    </row>
    <row r="83" spans="2:19" x14ac:dyDescent="0.2">
      <c r="B83" s="175"/>
      <c r="C83" s="172" t="s">
        <v>230</v>
      </c>
      <c r="D83" s="4"/>
      <c r="E83" s="4" t="s">
        <v>242</v>
      </c>
      <c r="F83" s="4"/>
      <c r="G83" s="4" t="s">
        <v>243</v>
      </c>
      <c r="H83" s="8" t="s">
        <v>53</v>
      </c>
      <c r="I83" s="8" t="s">
        <v>244</v>
      </c>
      <c r="J83" s="8" t="s">
        <v>245</v>
      </c>
      <c r="K83" s="4"/>
      <c r="L83" s="4" t="s">
        <v>246</v>
      </c>
    </row>
    <row r="84" spans="2:19" x14ac:dyDescent="0.2">
      <c r="B84" s="175"/>
      <c r="C84" s="173"/>
      <c r="D84" s="4"/>
      <c r="E84" s="4" t="s">
        <v>21</v>
      </c>
      <c r="F84" s="4"/>
      <c r="G84" s="4" t="s">
        <v>247</v>
      </c>
      <c r="H84" s="8" t="s">
        <v>75</v>
      </c>
      <c r="I84" s="8" t="s">
        <v>17</v>
      </c>
      <c r="J84" s="8" t="s">
        <v>98</v>
      </c>
      <c r="K84" s="4"/>
      <c r="L84" s="4" t="s">
        <v>18</v>
      </c>
    </row>
    <row r="85" spans="2:19" x14ac:dyDescent="0.2">
      <c r="B85" s="175"/>
      <c r="C85" s="172" t="s">
        <v>134</v>
      </c>
      <c r="D85" s="4"/>
      <c r="E85" s="4" t="s">
        <v>248</v>
      </c>
      <c r="F85" s="4"/>
      <c r="G85" s="4" t="s">
        <v>142</v>
      </c>
      <c r="H85" s="8" t="s">
        <v>249</v>
      </c>
      <c r="I85" s="8" t="s">
        <v>250</v>
      </c>
      <c r="J85" s="8" t="s">
        <v>148</v>
      </c>
      <c r="K85" s="4"/>
      <c r="L85" s="4" t="s">
        <v>97</v>
      </c>
    </row>
    <row r="86" spans="2:19" x14ac:dyDescent="0.2">
      <c r="B86" s="175"/>
      <c r="C86" s="173"/>
      <c r="D86" s="4"/>
      <c r="E86" s="4" t="s">
        <v>251</v>
      </c>
      <c r="F86" s="4"/>
      <c r="G86" s="4" t="s">
        <v>252</v>
      </c>
      <c r="H86" s="8" t="s">
        <v>129</v>
      </c>
      <c r="I86" s="8" t="s">
        <v>218</v>
      </c>
      <c r="J86" s="8" t="s">
        <v>29</v>
      </c>
      <c r="K86" s="4"/>
      <c r="L86" s="4" t="s">
        <v>213</v>
      </c>
    </row>
    <row r="87" spans="2:19" x14ac:dyDescent="0.2">
      <c r="B87" s="175"/>
      <c r="C87" s="172" t="s">
        <v>141</v>
      </c>
      <c r="D87" s="4"/>
      <c r="E87" s="4" t="s">
        <v>253</v>
      </c>
      <c r="F87" s="4"/>
      <c r="G87" s="4" t="s">
        <v>254</v>
      </c>
      <c r="H87" s="8" t="s">
        <v>255</v>
      </c>
      <c r="I87" s="8" t="s">
        <v>115</v>
      </c>
      <c r="J87" s="8" t="s">
        <v>256</v>
      </c>
      <c r="K87" s="4"/>
      <c r="L87" s="4" t="s">
        <v>257</v>
      </c>
    </row>
    <row r="88" spans="2:19" x14ac:dyDescent="0.2">
      <c r="B88" s="175"/>
      <c r="C88" s="173"/>
      <c r="D88" s="4"/>
      <c r="E88" s="4" t="s">
        <v>258</v>
      </c>
      <c r="F88" s="4"/>
      <c r="G88" s="4" t="s">
        <v>259</v>
      </c>
      <c r="H88" s="8" t="s">
        <v>74</v>
      </c>
      <c r="I88" s="8" t="s">
        <v>51</v>
      </c>
      <c r="J88" s="8" t="s">
        <v>30</v>
      </c>
      <c r="K88" s="4"/>
      <c r="L88" s="4" t="s">
        <v>27</v>
      </c>
    </row>
    <row r="89" spans="2:19" x14ac:dyDescent="0.2">
      <c r="B89" s="175"/>
      <c r="C89" s="3" t="s">
        <v>14</v>
      </c>
      <c r="D89" s="4" t="s">
        <v>38</v>
      </c>
      <c r="E89" s="4" t="s">
        <v>144</v>
      </c>
      <c r="F89" s="4" t="s">
        <v>38</v>
      </c>
      <c r="G89" s="4" t="s">
        <v>144</v>
      </c>
      <c r="H89" s="8" t="s">
        <v>145</v>
      </c>
      <c r="I89" s="8" t="s">
        <v>145</v>
      </c>
      <c r="J89" s="8" t="s">
        <v>145</v>
      </c>
      <c r="K89" s="4" t="s">
        <v>66</v>
      </c>
      <c r="L89" s="4" t="s">
        <v>146</v>
      </c>
    </row>
  </sheetData>
  <mergeCells count="82">
    <mergeCell ref="O80:O81"/>
    <mergeCell ref="R71:S71"/>
    <mergeCell ref="O72:O73"/>
    <mergeCell ref="O74:O75"/>
    <mergeCell ref="O76:O77"/>
    <mergeCell ref="O78:O79"/>
    <mergeCell ref="O65:O66"/>
    <mergeCell ref="P56:Q56"/>
    <mergeCell ref="P43:Q43"/>
    <mergeCell ref="R43:S43"/>
    <mergeCell ref="O44:O45"/>
    <mergeCell ref="O46:O47"/>
    <mergeCell ref="O48:O49"/>
    <mergeCell ref="R56:S56"/>
    <mergeCell ref="O57:O58"/>
    <mergeCell ref="O59:O60"/>
    <mergeCell ref="O61:O62"/>
    <mergeCell ref="O63:O64"/>
    <mergeCell ref="C65:C66"/>
    <mergeCell ref="C3:C4"/>
    <mergeCell ref="C5:C6"/>
    <mergeCell ref="C7:C8"/>
    <mergeCell ref="C12:C13"/>
    <mergeCell ref="C18:C19"/>
    <mergeCell ref="C20:C21"/>
    <mergeCell ref="C48:C49"/>
    <mergeCell ref="C50:C51"/>
    <mergeCell ref="C52:C53"/>
    <mergeCell ref="C57:C58"/>
    <mergeCell ref="C63:C64"/>
    <mergeCell ref="C14:C15"/>
    <mergeCell ref="C16:C17"/>
    <mergeCell ref="C59:C60"/>
    <mergeCell ref="C61:C62"/>
    <mergeCell ref="B2:B9"/>
    <mergeCell ref="B11:B22"/>
    <mergeCell ref="B47:B54"/>
    <mergeCell ref="B56:B67"/>
    <mergeCell ref="B69:B76"/>
    <mergeCell ref="B25:B32"/>
    <mergeCell ref="B78:B89"/>
    <mergeCell ref="D69:E69"/>
    <mergeCell ref="F69:G69"/>
    <mergeCell ref="K69:L69"/>
    <mergeCell ref="D78:E78"/>
    <mergeCell ref="F78:G78"/>
    <mergeCell ref="K78:L78"/>
    <mergeCell ref="C79:C80"/>
    <mergeCell ref="C85:C86"/>
    <mergeCell ref="C87:C88"/>
    <mergeCell ref="C70:C71"/>
    <mergeCell ref="C72:C73"/>
    <mergeCell ref="C74:C75"/>
    <mergeCell ref="C81:C82"/>
    <mergeCell ref="C83:C84"/>
    <mergeCell ref="D56:E56"/>
    <mergeCell ref="F56:G56"/>
    <mergeCell ref="K56:L56"/>
    <mergeCell ref="D47:E47"/>
    <mergeCell ref="F47:G47"/>
    <mergeCell ref="K47:L47"/>
    <mergeCell ref="D2:E2"/>
    <mergeCell ref="F2:G2"/>
    <mergeCell ref="K2:L2"/>
    <mergeCell ref="D11:E11"/>
    <mergeCell ref="F11:G11"/>
    <mergeCell ref="K11:L11"/>
    <mergeCell ref="D25:E25"/>
    <mergeCell ref="F25:G25"/>
    <mergeCell ref="K25:L25"/>
    <mergeCell ref="C26:C27"/>
    <mergeCell ref="C28:C29"/>
    <mergeCell ref="C30:C31"/>
    <mergeCell ref="B34:B45"/>
    <mergeCell ref="D34:E34"/>
    <mergeCell ref="F34:G34"/>
    <mergeCell ref="K34:L34"/>
    <mergeCell ref="C35:C36"/>
    <mergeCell ref="C41:C42"/>
    <mergeCell ref="C43:C44"/>
    <mergeCell ref="C37:C38"/>
    <mergeCell ref="C39:C4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079C1-F4F3-4E3A-8CE8-2113D4F28B6B}">
  <dimension ref="A1:J15"/>
  <sheetViews>
    <sheetView workbookViewId="0">
      <selection activeCell="E46" sqref="E46"/>
    </sheetView>
  </sheetViews>
  <sheetFormatPr baseColWidth="10" defaultColWidth="8.83203125" defaultRowHeight="16" x14ac:dyDescent="0.2"/>
  <cols>
    <col min="1" max="1" width="14.83203125" bestFit="1" customWidth="1"/>
    <col min="2" max="2" width="9.1640625" bestFit="1" customWidth="1"/>
    <col min="3" max="3" width="12.6640625" customWidth="1"/>
    <col min="4" max="4" width="9.5" bestFit="1" customWidth="1"/>
    <col min="7" max="7" width="14.83203125" bestFit="1" customWidth="1"/>
    <col min="8" max="8" width="9.1640625" bestFit="1" customWidth="1"/>
    <col min="9" max="9" width="12.6640625" customWidth="1"/>
    <col min="10" max="10" width="9.5" bestFit="1" customWidth="1"/>
  </cols>
  <sheetData>
    <row r="1" spans="1:10" x14ac:dyDescent="0.2">
      <c r="B1" t="s">
        <v>376</v>
      </c>
      <c r="H1" t="s">
        <v>377</v>
      </c>
    </row>
    <row r="2" spans="1:10" x14ac:dyDescent="0.2">
      <c r="A2" t="s">
        <v>367</v>
      </c>
      <c r="B2">
        <v>0.34200000000000003</v>
      </c>
      <c r="G2" t="s">
        <v>367</v>
      </c>
      <c r="H2">
        <v>5.4610000000000003</v>
      </c>
    </row>
    <row r="3" spans="1:10" x14ac:dyDescent="0.2">
      <c r="A3" t="s">
        <v>368</v>
      </c>
      <c r="B3">
        <v>-1.6E-2</v>
      </c>
      <c r="G3" t="s">
        <v>368</v>
      </c>
      <c r="H3">
        <v>-0.188</v>
      </c>
    </row>
    <row r="4" spans="1:10" x14ac:dyDescent="0.2">
      <c r="A4" t="s">
        <v>369</v>
      </c>
      <c r="B4">
        <v>0</v>
      </c>
      <c r="G4" t="s">
        <v>369</v>
      </c>
      <c r="H4">
        <v>0</v>
      </c>
    </row>
    <row r="5" spans="1:10" x14ac:dyDescent="0.2">
      <c r="A5" t="s">
        <v>370</v>
      </c>
      <c r="B5">
        <v>0.747</v>
      </c>
      <c r="G5" t="s">
        <v>370</v>
      </c>
      <c r="H5">
        <v>1.349</v>
      </c>
    </row>
    <row r="6" spans="1:10" x14ac:dyDescent="0.2">
      <c r="A6" t="s">
        <v>371</v>
      </c>
      <c r="B6">
        <v>-6.6000000000000003E-2</v>
      </c>
      <c r="G6" t="s">
        <v>371</v>
      </c>
      <c r="H6">
        <v>0</v>
      </c>
    </row>
    <row r="7" spans="1:10" x14ac:dyDescent="0.2">
      <c r="A7" t="s">
        <v>372</v>
      </c>
      <c r="B7">
        <v>0</v>
      </c>
      <c r="G7" t="s">
        <v>372</v>
      </c>
      <c r="H7">
        <v>0</v>
      </c>
    </row>
    <row r="10" spans="1:10" x14ac:dyDescent="0.2">
      <c r="A10" t="s">
        <v>375</v>
      </c>
      <c r="B10" t="s">
        <v>366</v>
      </c>
      <c r="C10" t="s">
        <v>374</v>
      </c>
      <c r="D10" t="s">
        <v>373</v>
      </c>
      <c r="G10" t="s">
        <v>375</v>
      </c>
      <c r="H10" t="s">
        <v>366</v>
      </c>
      <c r="I10" t="s">
        <v>374</v>
      </c>
      <c r="J10" t="s">
        <v>373</v>
      </c>
    </row>
    <row r="11" spans="1:10" x14ac:dyDescent="0.2">
      <c r="A11">
        <v>6.2315934999999998</v>
      </c>
      <c r="C11">
        <f>$B$2+$B$5+($B$3+$B$6)*A11</f>
        <v>0.57800933300000001</v>
      </c>
      <c r="G11">
        <v>6.2315934999999998</v>
      </c>
      <c r="I11">
        <f>$H$2+$H$5+($H$3+$H$6)*G11</f>
        <v>5.6384604220000005</v>
      </c>
    </row>
    <row r="12" spans="1:10" x14ac:dyDescent="0.2">
      <c r="A12">
        <v>5.1203884999999998</v>
      </c>
      <c r="C12">
        <f t="shared" ref="C12:C13" si="0">$B$2+$B$5+($B$3+$B$6)*A12</f>
        <v>0.66912814300000001</v>
      </c>
      <c r="G12">
        <v>5.1203884999999998</v>
      </c>
      <c r="I12">
        <f t="shared" ref="I12:I13" si="1">$H$2+$H$5+($H$3+$H$6)*G12</f>
        <v>5.8473669620000006</v>
      </c>
    </row>
    <row r="13" spans="1:10" x14ac:dyDescent="0.2">
      <c r="A13">
        <v>0</v>
      </c>
      <c r="B13">
        <v>0</v>
      </c>
      <c r="C13">
        <f t="shared" si="0"/>
        <v>1.089</v>
      </c>
      <c r="D13">
        <f>$B$2+$B$3*A13</f>
        <v>0.34200000000000003</v>
      </c>
      <c r="G13">
        <v>0</v>
      </c>
      <c r="H13">
        <v>0</v>
      </c>
      <c r="I13">
        <f t="shared" si="1"/>
        <v>6.8100000000000005</v>
      </c>
      <c r="J13">
        <f>$H$2+$H$3*G13</f>
        <v>5.4610000000000003</v>
      </c>
    </row>
    <row r="14" spans="1:10" x14ac:dyDescent="0.2">
      <c r="A14">
        <v>2.1058599999999998</v>
      </c>
      <c r="D14">
        <f t="shared" ref="D14:D15" si="2">$B$2+$B$3*A14</f>
        <v>0.30830624000000001</v>
      </c>
      <c r="G14">
        <v>2.1058599999999998</v>
      </c>
      <c r="J14">
        <f t="shared" ref="J14:J15" si="3">$H$2+$H$3*G14</f>
        <v>5.0650983200000006</v>
      </c>
    </row>
    <row r="15" spans="1:10" x14ac:dyDescent="0.2">
      <c r="A15">
        <v>4.780926</v>
      </c>
      <c r="D15">
        <f t="shared" si="2"/>
        <v>0.26550518400000001</v>
      </c>
      <c r="G15">
        <v>4.780926</v>
      </c>
      <c r="J15">
        <f t="shared" si="3"/>
        <v>4.5621859120000003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DCC5C-5FCE-474C-B8FB-42D81179EE2D}">
  <dimension ref="B2:Y13"/>
  <sheetViews>
    <sheetView workbookViewId="0">
      <selection activeCell="W3" sqref="W3:Y9"/>
    </sheetView>
  </sheetViews>
  <sheetFormatPr baseColWidth="10" defaultRowHeight="16" x14ac:dyDescent="0.2"/>
  <cols>
    <col min="1" max="16384" width="10.83203125" style="1"/>
  </cols>
  <sheetData>
    <row r="2" spans="2:25" x14ac:dyDescent="0.2">
      <c r="C2" s="1" t="s">
        <v>661</v>
      </c>
      <c r="D2" s="1" t="s">
        <v>662</v>
      </c>
      <c r="E2" s="1" t="s">
        <v>663</v>
      </c>
      <c r="F2" s="1" t="s">
        <v>664</v>
      </c>
      <c r="I2" s="1" t="s">
        <v>661</v>
      </c>
      <c r="J2" s="1" t="s">
        <v>662</v>
      </c>
      <c r="K2" s="1" t="s">
        <v>663</v>
      </c>
      <c r="L2" s="1" t="s">
        <v>664</v>
      </c>
      <c r="M2" s="1" t="s">
        <v>689</v>
      </c>
      <c r="N2" s="1" t="s">
        <v>690</v>
      </c>
      <c r="O2" s="1" t="s">
        <v>691</v>
      </c>
      <c r="R2" s="1" t="s">
        <v>689</v>
      </c>
      <c r="S2" s="1" t="s">
        <v>690</v>
      </c>
      <c r="T2" s="1" t="s">
        <v>691</v>
      </c>
      <c r="W2" s="1" t="s">
        <v>689</v>
      </c>
      <c r="X2" s="1" t="s">
        <v>690</v>
      </c>
      <c r="Y2" s="1" t="s">
        <v>691</v>
      </c>
    </row>
    <row r="3" spans="2:25" x14ac:dyDescent="0.2">
      <c r="B3" s="1" t="s">
        <v>319</v>
      </c>
      <c r="C3" s="1" t="s">
        <v>658</v>
      </c>
      <c r="D3" s="1" t="s">
        <v>659</v>
      </c>
      <c r="E3" s="1" t="s">
        <v>67</v>
      </c>
      <c r="F3" s="1" t="s">
        <v>660</v>
      </c>
      <c r="H3" s="1" t="s">
        <v>319</v>
      </c>
      <c r="I3" s="1" t="s">
        <v>658</v>
      </c>
      <c r="J3" s="1" t="s">
        <v>659</v>
      </c>
      <c r="K3" s="1" t="s">
        <v>67</v>
      </c>
      <c r="L3" s="1" t="s">
        <v>660</v>
      </c>
      <c r="M3" s="1" t="s">
        <v>692</v>
      </c>
      <c r="N3" s="1" t="s">
        <v>693</v>
      </c>
      <c r="O3" s="1" t="s">
        <v>694</v>
      </c>
      <c r="Q3" s="1" t="s">
        <v>319</v>
      </c>
      <c r="R3" s="1" t="s">
        <v>531</v>
      </c>
      <c r="S3" s="1" t="s">
        <v>709</v>
      </c>
      <c r="T3" s="1" t="s">
        <v>710</v>
      </c>
      <c r="V3" s="1" t="s">
        <v>319</v>
      </c>
      <c r="W3" s="1" t="s">
        <v>531</v>
      </c>
      <c r="X3" s="1" t="s">
        <v>709</v>
      </c>
      <c r="Y3" s="1" t="s">
        <v>710</v>
      </c>
    </row>
    <row r="4" spans="2:25" x14ac:dyDescent="0.2">
      <c r="C4" s="1" t="s">
        <v>665</v>
      </c>
      <c r="D4" s="1" t="s">
        <v>647</v>
      </c>
      <c r="E4" s="1" t="s">
        <v>17</v>
      </c>
      <c r="F4" s="1" t="s">
        <v>666</v>
      </c>
      <c r="I4" s="1" t="s">
        <v>665</v>
      </c>
      <c r="J4" s="1" t="s">
        <v>647</v>
      </c>
      <c r="K4" s="1" t="s">
        <v>17</v>
      </c>
      <c r="L4" s="1" t="s">
        <v>666</v>
      </c>
      <c r="M4" s="1" t="s">
        <v>695</v>
      </c>
      <c r="N4" s="1" t="s">
        <v>74</v>
      </c>
      <c r="O4" s="1" t="s">
        <v>696</v>
      </c>
      <c r="R4" s="1" t="s">
        <v>697</v>
      </c>
      <c r="S4" s="1" t="s">
        <v>143</v>
      </c>
      <c r="T4" s="1" t="s">
        <v>711</v>
      </c>
      <c r="W4" s="1" t="s">
        <v>697</v>
      </c>
      <c r="X4" s="1" t="s">
        <v>143</v>
      </c>
      <c r="Y4" s="1" t="s">
        <v>711</v>
      </c>
    </row>
    <row r="5" spans="2:25" x14ac:dyDescent="0.2">
      <c r="B5" s="1" t="s">
        <v>670</v>
      </c>
      <c r="C5" s="1" t="s">
        <v>671</v>
      </c>
      <c r="D5" s="1" t="s">
        <v>672</v>
      </c>
      <c r="E5" s="1" t="s">
        <v>76</v>
      </c>
      <c r="F5" s="1" t="s">
        <v>673</v>
      </c>
      <c r="H5" s="1" t="s">
        <v>670</v>
      </c>
      <c r="I5" s="1" t="s">
        <v>671</v>
      </c>
      <c r="J5" s="1" t="s">
        <v>672</v>
      </c>
      <c r="K5" s="1" t="s">
        <v>76</v>
      </c>
      <c r="L5" s="1" t="s">
        <v>673</v>
      </c>
      <c r="M5" s="1" t="s">
        <v>698</v>
      </c>
      <c r="N5" s="1" t="s">
        <v>699</v>
      </c>
      <c r="O5" s="1" t="s">
        <v>76</v>
      </c>
      <c r="Q5" s="1" t="s">
        <v>674</v>
      </c>
      <c r="R5" s="1" t="s">
        <v>712</v>
      </c>
      <c r="S5" s="1" t="s">
        <v>713</v>
      </c>
      <c r="T5" s="1" t="s">
        <v>714</v>
      </c>
      <c r="V5" s="1" t="s">
        <v>670</v>
      </c>
      <c r="W5" s="1" t="s">
        <v>630</v>
      </c>
      <c r="X5" s="1" t="s">
        <v>123</v>
      </c>
      <c r="Y5" s="1" t="s">
        <v>669</v>
      </c>
    </row>
    <row r="6" spans="2:25" x14ac:dyDescent="0.2">
      <c r="C6" s="1" t="s">
        <v>222</v>
      </c>
      <c r="D6" s="1" t="s">
        <v>26</v>
      </c>
      <c r="E6" s="1" t="s">
        <v>26</v>
      </c>
      <c r="F6" s="1" t="s">
        <v>448</v>
      </c>
      <c r="I6" s="1" t="s">
        <v>222</v>
      </c>
      <c r="J6" s="1" t="s">
        <v>26</v>
      </c>
      <c r="K6" s="1" t="s">
        <v>26</v>
      </c>
      <c r="L6" s="1" t="s">
        <v>448</v>
      </c>
      <c r="M6" s="1" t="s">
        <v>298</v>
      </c>
      <c r="N6" s="1" t="s">
        <v>57</v>
      </c>
      <c r="O6" s="1" t="s">
        <v>224</v>
      </c>
      <c r="R6" s="1" t="s">
        <v>163</v>
      </c>
      <c r="S6" s="1" t="s">
        <v>60</v>
      </c>
      <c r="T6" s="1" t="s">
        <v>18</v>
      </c>
      <c r="W6" s="1" t="s">
        <v>28</v>
      </c>
      <c r="X6" s="1" t="s">
        <v>448</v>
      </c>
      <c r="Y6" s="1" t="s">
        <v>448</v>
      </c>
    </row>
    <row r="7" spans="2:25" x14ac:dyDescent="0.2">
      <c r="B7" s="1" t="s">
        <v>674</v>
      </c>
      <c r="C7" s="1" t="s">
        <v>56</v>
      </c>
      <c r="D7" s="1" t="s">
        <v>675</v>
      </c>
      <c r="E7" s="1" t="s">
        <v>80</v>
      </c>
      <c r="F7" s="1" t="s">
        <v>676</v>
      </c>
      <c r="H7" s="1" t="s">
        <v>674</v>
      </c>
      <c r="I7" s="1" t="s">
        <v>56</v>
      </c>
      <c r="J7" s="1" t="s">
        <v>675</v>
      </c>
      <c r="K7" s="1" t="s">
        <v>80</v>
      </c>
      <c r="L7" s="1" t="s">
        <v>676</v>
      </c>
      <c r="M7" s="1" t="s">
        <v>82</v>
      </c>
      <c r="N7" s="1" t="s">
        <v>71</v>
      </c>
      <c r="O7" s="1" t="s">
        <v>667</v>
      </c>
      <c r="Q7" s="1" t="s">
        <v>14</v>
      </c>
      <c r="R7" s="1" t="s">
        <v>715</v>
      </c>
      <c r="S7" s="1" t="s">
        <v>716</v>
      </c>
      <c r="T7" s="1" t="s">
        <v>717</v>
      </c>
      <c r="V7" s="1" t="s">
        <v>674</v>
      </c>
      <c r="W7" s="1" t="s">
        <v>712</v>
      </c>
      <c r="X7" s="1" t="s">
        <v>713</v>
      </c>
      <c r="Y7" s="1" t="s">
        <v>714</v>
      </c>
    </row>
    <row r="8" spans="2:25" x14ac:dyDescent="0.2">
      <c r="C8" s="1" t="s">
        <v>226</v>
      </c>
      <c r="D8" s="1" t="s">
        <v>116</v>
      </c>
      <c r="E8" s="1" t="s">
        <v>85</v>
      </c>
      <c r="F8" s="1" t="s">
        <v>116</v>
      </c>
      <c r="I8" s="1" t="s">
        <v>226</v>
      </c>
      <c r="J8" s="1" t="s">
        <v>116</v>
      </c>
      <c r="K8" s="1" t="s">
        <v>85</v>
      </c>
      <c r="L8" s="1" t="s">
        <v>116</v>
      </c>
      <c r="M8" s="1" t="s">
        <v>207</v>
      </c>
      <c r="N8" s="1" t="s">
        <v>143</v>
      </c>
      <c r="O8" s="1" t="s">
        <v>668</v>
      </c>
      <c r="Q8" s="1" t="s">
        <v>677</v>
      </c>
      <c r="R8" s="1" t="s">
        <v>718</v>
      </c>
      <c r="S8" s="1" t="s">
        <v>719</v>
      </c>
      <c r="T8" s="1" t="s">
        <v>720</v>
      </c>
      <c r="W8" s="1" t="s">
        <v>163</v>
      </c>
      <c r="X8" s="1" t="s">
        <v>60</v>
      </c>
      <c r="Y8" s="1" t="s">
        <v>18</v>
      </c>
    </row>
    <row r="9" spans="2:25" x14ac:dyDescent="0.2">
      <c r="B9" s="1" t="s">
        <v>14</v>
      </c>
      <c r="C9" s="1" t="s">
        <v>90</v>
      </c>
      <c r="D9" s="1" t="s">
        <v>90</v>
      </c>
      <c r="E9" s="1" t="s">
        <v>90</v>
      </c>
      <c r="F9" s="1" t="s">
        <v>90</v>
      </c>
      <c r="H9" s="1" t="s">
        <v>14</v>
      </c>
      <c r="I9" s="1" t="s">
        <v>90</v>
      </c>
      <c r="J9" s="1" t="s">
        <v>90</v>
      </c>
      <c r="K9" s="1" t="s">
        <v>90</v>
      </c>
      <c r="L9" s="1" t="s">
        <v>90</v>
      </c>
      <c r="M9" s="1" t="s">
        <v>700</v>
      </c>
      <c r="N9" s="1" t="s">
        <v>701</v>
      </c>
      <c r="O9" s="1" t="s">
        <v>702</v>
      </c>
      <c r="Q9" s="1" t="s">
        <v>682</v>
      </c>
      <c r="R9" s="1" t="s">
        <v>41</v>
      </c>
      <c r="S9" s="1" t="s">
        <v>41</v>
      </c>
      <c r="T9" s="1" t="s">
        <v>41</v>
      </c>
      <c r="V9" s="1" t="s">
        <v>14</v>
      </c>
      <c r="W9" s="1" t="s">
        <v>715</v>
      </c>
      <c r="X9" s="1" t="s">
        <v>716</v>
      </c>
      <c r="Y9" s="1" t="s">
        <v>717</v>
      </c>
    </row>
    <row r="10" spans="2:25" x14ac:dyDescent="0.2">
      <c r="B10" s="1" t="s">
        <v>677</v>
      </c>
      <c r="C10" s="1" t="s">
        <v>678</v>
      </c>
      <c r="D10" s="1" t="s">
        <v>679</v>
      </c>
      <c r="E10" s="1" t="s">
        <v>680</v>
      </c>
      <c r="F10" s="1" t="s">
        <v>681</v>
      </c>
      <c r="H10" s="1" t="s">
        <v>677</v>
      </c>
      <c r="I10" s="1" t="s">
        <v>678</v>
      </c>
      <c r="J10" s="1" t="s">
        <v>679</v>
      </c>
      <c r="K10" s="1" t="s">
        <v>680</v>
      </c>
      <c r="L10" s="1" t="s">
        <v>681</v>
      </c>
      <c r="M10" s="1" t="s">
        <v>703</v>
      </c>
      <c r="N10" s="1" t="s">
        <v>704</v>
      </c>
      <c r="O10" s="1" t="s">
        <v>705</v>
      </c>
      <c r="Q10" s="1" t="s">
        <v>683</v>
      </c>
      <c r="R10" s="1" t="s">
        <v>721</v>
      </c>
      <c r="S10" s="1" t="s">
        <v>722</v>
      </c>
      <c r="T10" s="1" t="s">
        <v>723</v>
      </c>
      <c r="V10" s="1" t="s">
        <v>677</v>
      </c>
      <c r="W10" s="1" t="s">
        <v>718</v>
      </c>
      <c r="X10" s="1" t="s">
        <v>719</v>
      </c>
      <c r="Y10" s="1" t="s">
        <v>720</v>
      </c>
    </row>
    <row r="11" spans="2:25" x14ac:dyDescent="0.2">
      <c r="B11" s="1" t="s">
        <v>682</v>
      </c>
      <c r="C11" s="1" t="s">
        <v>41</v>
      </c>
      <c r="D11" s="1" t="s">
        <v>41</v>
      </c>
      <c r="E11" s="1" t="s">
        <v>41</v>
      </c>
      <c r="F11" s="1" t="s">
        <v>41</v>
      </c>
      <c r="H11" s="1" t="s">
        <v>682</v>
      </c>
      <c r="I11" s="1" t="s">
        <v>41</v>
      </c>
      <c r="J11" s="1" t="s">
        <v>41</v>
      </c>
      <c r="K11" s="1" t="s">
        <v>41</v>
      </c>
      <c r="L11" s="1" t="s">
        <v>41</v>
      </c>
      <c r="M11" s="1" t="s">
        <v>41</v>
      </c>
      <c r="N11" s="1" t="s">
        <v>41</v>
      </c>
      <c r="O11" s="1" t="s">
        <v>41</v>
      </c>
      <c r="Q11" s="1" t="s">
        <v>688</v>
      </c>
      <c r="R11" s="1" t="s">
        <v>41</v>
      </c>
      <c r="S11" s="1" t="s">
        <v>41</v>
      </c>
      <c r="T11" s="1" t="s">
        <v>41</v>
      </c>
      <c r="V11" s="1" t="s">
        <v>682</v>
      </c>
      <c r="W11" s="1" t="s">
        <v>41</v>
      </c>
      <c r="X11" s="1" t="s">
        <v>41</v>
      </c>
      <c r="Y11" s="1" t="s">
        <v>41</v>
      </c>
    </row>
    <row r="12" spans="2:25" x14ac:dyDescent="0.2">
      <c r="B12" s="1" t="s">
        <v>683</v>
      </c>
      <c r="C12" s="1" t="s">
        <v>684</v>
      </c>
      <c r="D12" s="1" t="s">
        <v>685</v>
      </c>
      <c r="E12" s="1" t="s">
        <v>686</v>
      </c>
      <c r="F12" s="1" t="s">
        <v>687</v>
      </c>
      <c r="H12" s="1" t="s">
        <v>683</v>
      </c>
      <c r="I12" s="1" t="s">
        <v>684</v>
      </c>
      <c r="J12" s="1" t="s">
        <v>685</v>
      </c>
      <c r="K12" s="1" t="s">
        <v>686</v>
      </c>
      <c r="L12" s="1" t="s">
        <v>687</v>
      </c>
      <c r="M12" s="1" t="s">
        <v>706</v>
      </c>
      <c r="N12" s="1" t="s">
        <v>707</v>
      </c>
      <c r="O12" s="1" t="s">
        <v>708</v>
      </c>
      <c r="V12" s="1" t="s">
        <v>683</v>
      </c>
      <c r="W12" s="1" t="s">
        <v>721</v>
      </c>
      <c r="X12" s="1" t="s">
        <v>722</v>
      </c>
      <c r="Y12" s="1" t="s">
        <v>723</v>
      </c>
    </row>
    <row r="13" spans="2:25" x14ac:dyDescent="0.2">
      <c r="B13" s="1" t="s">
        <v>688</v>
      </c>
      <c r="C13" s="1" t="s">
        <v>41</v>
      </c>
      <c r="D13" s="1" t="s">
        <v>41</v>
      </c>
      <c r="E13" s="1" t="s">
        <v>41</v>
      </c>
      <c r="F13" s="1" t="s">
        <v>41</v>
      </c>
      <c r="H13" s="1" t="s">
        <v>688</v>
      </c>
      <c r="I13" s="1" t="s">
        <v>41</v>
      </c>
      <c r="J13" s="1" t="s">
        <v>41</v>
      </c>
      <c r="K13" s="1" t="s">
        <v>41</v>
      </c>
      <c r="L13" s="1" t="s">
        <v>41</v>
      </c>
      <c r="M13" s="1" t="s">
        <v>41</v>
      </c>
      <c r="N13" s="1" t="s">
        <v>41</v>
      </c>
      <c r="O13" s="1" t="s">
        <v>41</v>
      </c>
      <c r="V13" s="1" t="s">
        <v>688</v>
      </c>
      <c r="W13" s="1" t="s">
        <v>41</v>
      </c>
      <c r="X13" s="1" t="s">
        <v>41</v>
      </c>
      <c r="Y13" s="1" t="s">
        <v>41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15DE7-CAF9-4A3C-99EC-AE501B1448E2}">
  <dimension ref="A1:M47"/>
  <sheetViews>
    <sheetView topLeftCell="A7" zoomScale="70" zoomScaleNormal="70" workbookViewId="0">
      <selection activeCell="D32" sqref="D32"/>
    </sheetView>
  </sheetViews>
  <sheetFormatPr baseColWidth="10" defaultColWidth="8.83203125" defaultRowHeight="16" x14ac:dyDescent="0.2"/>
  <cols>
    <col min="1" max="1" width="27.6640625" bestFit="1" customWidth="1"/>
    <col min="2" max="2" width="18.33203125" bestFit="1" customWidth="1"/>
    <col min="3" max="3" width="25.33203125" customWidth="1"/>
    <col min="4" max="4" width="27.6640625" bestFit="1" customWidth="1"/>
    <col min="7" max="7" width="19" bestFit="1" customWidth="1"/>
  </cols>
  <sheetData>
    <row r="1" spans="1:13" x14ac:dyDescent="0.2">
      <c r="B1" t="s">
        <v>0</v>
      </c>
      <c r="C1" t="s">
        <v>1</v>
      </c>
      <c r="H1" t="s">
        <v>321</v>
      </c>
      <c r="I1" t="s">
        <v>322</v>
      </c>
      <c r="L1" t="s">
        <v>321</v>
      </c>
      <c r="M1" t="s">
        <v>322</v>
      </c>
    </row>
    <row r="2" spans="1:13" x14ac:dyDescent="0.2">
      <c r="A2" t="s">
        <v>5</v>
      </c>
      <c r="B2">
        <v>0.22600000000000001</v>
      </c>
      <c r="C2">
        <v>1.113</v>
      </c>
      <c r="G2" t="s">
        <v>316</v>
      </c>
      <c r="H2">
        <v>2.7743699999999998</v>
      </c>
      <c r="I2">
        <v>2.8641299999999998</v>
      </c>
      <c r="K2" t="s">
        <v>319</v>
      </c>
      <c r="L2">
        <v>5.6759909999999998</v>
      </c>
      <c r="M2">
        <v>0.5556025</v>
      </c>
    </row>
    <row r="3" spans="1:13" x14ac:dyDescent="0.2">
      <c r="A3" t="s">
        <v>11</v>
      </c>
      <c r="B3">
        <v>-4.4999999999999998E-2</v>
      </c>
      <c r="C3">
        <v>-0.22700000000000001</v>
      </c>
      <c r="K3" t="s">
        <v>320</v>
      </c>
      <c r="L3">
        <v>0</v>
      </c>
      <c r="M3">
        <v>0</v>
      </c>
    </row>
    <row r="4" spans="1:13" x14ac:dyDescent="0.2">
      <c r="A4" t="s">
        <v>79</v>
      </c>
      <c r="B4">
        <v>0</v>
      </c>
      <c r="C4">
        <v>0</v>
      </c>
      <c r="G4" t="s">
        <v>323</v>
      </c>
      <c r="H4">
        <v>0.27068130000000001</v>
      </c>
      <c r="I4">
        <v>0.29724149999999999</v>
      </c>
      <c r="K4" t="s">
        <v>319</v>
      </c>
      <c r="L4">
        <v>0.55539000000000005</v>
      </c>
      <c r="M4">
        <v>0.15205959999999999</v>
      </c>
    </row>
    <row r="5" spans="1:13" x14ac:dyDescent="0.2">
      <c r="B5" t="s">
        <v>3</v>
      </c>
      <c r="C5" t="s">
        <v>4</v>
      </c>
      <c r="D5" t="s">
        <v>127</v>
      </c>
      <c r="K5" t="s">
        <v>320</v>
      </c>
      <c r="L5">
        <v>0</v>
      </c>
      <c r="M5">
        <v>0</v>
      </c>
    </row>
    <row r="6" spans="1:13" x14ac:dyDescent="0.2">
      <c r="A6" t="s">
        <v>5</v>
      </c>
      <c r="B6" s="6">
        <v>0.68400000000000005</v>
      </c>
      <c r="C6">
        <v>1.2390000000000001</v>
      </c>
      <c r="D6">
        <v>0</v>
      </c>
      <c r="H6" t="s">
        <v>321</v>
      </c>
      <c r="I6" t="s">
        <v>322</v>
      </c>
      <c r="L6" t="s">
        <v>321</v>
      </c>
      <c r="M6" t="s">
        <v>322</v>
      </c>
    </row>
    <row r="7" spans="1:13" x14ac:dyDescent="0.2">
      <c r="A7" t="s">
        <v>186</v>
      </c>
      <c r="B7">
        <v>-2.5999999999999999E-2</v>
      </c>
      <c r="C7">
        <v>-0.20799999999999999</v>
      </c>
      <c r="D7">
        <v>0</v>
      </c>
      <c r="G7" t="s">
        <v>186</v>
      </c>
      <c r="H7">
        <f>4.662178- 1.488808</f>
        <v>3.1733700000000002</v>
      </c>
      <c r="I7">
        <f>4.662178+1.488808</f>
        <v>6.1509859999999996</v>
      </c>
      <c r="K7" t="s">
        <v>319</v>
      </c>
      <c r="L7">
        <v>5.6759909999999998</v>
      </c>
      <c r="M7">
        <v>0.5556025</v>
      </c>
    </row>
    <row r="8" spans="1:13" x14ac:dyDescent="0.2">
      <c r="A8" t="s">
        <v>134</v>
      </c>
      <c r="B8">
        <v>-5.8000000000000003E-2</v>
      </c>
      <c r="C8">
        <v>0</v>
      </c>
      <c r="D8">
        <v>0</v>
      </c>
      <c r="K8" t="s">
        <v>320</v>
      </c>
      <c r="L8">
        <v>3.4433929999999999</v>
      </c>
      <c r="M8">
        <v>1.3375330000000001</v>
      </c>
    </row>
    <row r="9" spans="1:13" x14ac:dyDescent="0.2">
      <c r="A9" t="s">
        <v>229</v>
      </c>
      <c r="B9">
        <v>0</v>
      </c>
      <c r="C9">
        <v>0</v>
      </c>
      <c r="D9">
        <v>0.49399999999999999</v>
      </c>
      <c r="G9" t="s">
        <v>229</v>
      </c>
      <c r="H9">
        <f>0.5062086-0.1771589</f>
        <v>0.3290497</v>
      </c>
      <c r="I9">
        <f>0.5062086+0.1771589</f>
        <v>0.68336750000000002</v>
      </c>
      <c r="K9" t="s">
        <v>319</v>
      </c>
      <c r="L9">
        <v>0.55539000000000005</v>
      </c>
      <c r="M9">
        <v>0.15205959999999999</v>
      </c>
    </row>
    <row r="10" spans="1:13" x14ac:dyDescent="0.2">
      <c r="A10" t="s">
        <v>149</v>
      </c>
      <c r="B10">
        <v>0</v>
      </c>
      <c r="C10">
        <v>0</v>
      </c>
      <c r="D10">
        <v>-0.109</v>
      </c>
      <c r="K10" t="s">
        <v>320</v>
      </c>
      <c r="L10">
        <v>0.44526110000000002</v>
      </c>
      <c r="M10">
        <v>0.18690109999999999</v>
      </c>
    </row>
    <row r="15" spans="1:13" x14ac:dyDescent="0.2">
      <c r="B15" t="s">
        <v>0</v>
      </c>
    </row>
    <row r="16" spans="1:13" x14ac:dyDescent="0.2">
      <c r="A16" t="s">
        <v>316</v>
      </c>
      <c r="B16" t="s">
        <v>317</v>
      </c>
      <c r="C16" t="s">
        <v>366</v>
      </c>
    </row>
    <row r="17" spans="1:3" x14ac:dyDescent="0.2">
      <c r="A17">
        <f>L2+M2</f>
        <v>6.2315934999999998</v>
      </c>
      <c r="B17">
        <f>$B$2+$B$3*A17</f>
        <v>-5.4421707499999999E-2</v>
      </c>
    </row>
    <row r="18" spans="1:3" x14ac:dyDescent="0.2">
      <c r="A18">
        <f>L2-M2</f>
        <v>5.1203884999999998</v>
      </c>
      <c r="B18">
        <f>$B$2+$B$3*A18</f>
        <v>-4.4174824999999862E-3</v>
      </c>
    </row>
    <row r="19" spans="1:3" x14ac:dyDescent="0.2">
      <c r="A19">
        <v>0</v>
      </c>
      <c r="B19">
        <f>$B$2+$B$3*A19</f>
        <v>0.22600000000000001</v>
      </c>
      <c r="C19">
        <v>0</v>
      </c>
    </row>
    <row r="20" spans="1:3" x14ac:dyDescent="0.2">
      <c r="A20">
        <v>0</v>
      </c>
      <c r="C20">
        <v>0</v>
      </c>
    </row>
    <row r="22" spans="1:3" x14ac:dyDescent="0.2">
      <c r="B22" t="s">
        <v>1</v>
      </c>
    </row>
    <row r="23" spans="1:3" x14ac:dyDescent="0.2">
      <c r="A23" t="s">
        <v>316</v>
      </c>
      <c r="B23" t="s">
        <v>317</v>
      </c>
      <c r="C23" t="s">
        <v>318</v>
      </c>
    </row>
    <row r="24" spans="1:3" x14ac:dyDescent="0.2">
      <c r="A24">
        <f>L7+M7</f>
        <v>6.2315934999999998</v>
      </c>
      <c r="B24">
        <f>$C$2+$C$3*A24</f>
        <v>-0.30157172450000003</v>
      </c>
    </row>
    <row r="25" spans="1:3" x14ac:dyDescent="0.2">
      <c r="A25">
        <f>L7-M7</f>
        <v>5.1203884999999998</v>
      </c>
      <c r="B25">
        <f>$C$2+$C$3*A25</f>
        <v>-4.9328189499999953E-2</v>
      </c>
    </row>
    <row r="26" spans="1:3" x14ac:dyDescent="0.2">
      <c r="A26">
        <v>0</v>
      </c>
      <c r="C26">
        <v>0</v>
      </c>
    </row>
    <row r="27" spans="1:3" x14ac:dyDescent="0.2">
      <c r="A27">
        <v>0</v>
      </c>
      <c r="C27">
        <v>0</v>
      </c>
    </row>
    <row r="33" spans="1:3" x14ac:dyDescent="0.2">
      <c r="B33" t="s">
        <v>3</v>
      </c>
    </row>
    <row r="34" spans="1:3" x14ac:dyDescent="0.2">
      <c r="A34" t="s">
        <v>186</v>
      </c>
      <c r="B34" t="s">
        <v>317</v>
      </c>
      <c r="C34" t="s">
        <v>318</v>
      </c>
    </row>
    <row r="35" spans="1:3" x14ac:dyDescent="0.2">
      <c r="A35">
        <f>L7-M7</f>
        <v>5.1203884999999998</v>
      </c>
      <c r="B35">
        <f>B6+B7*A35+B8*A35</f>
        <v>0.25388736600000006</v>
      </c>
    </row>
    <row r="36" spans="1:3" x14ac:dyDescent="0.2">
      <c r="A36">
        <f>L7+M7</f>
        <v>6.2315934999999998</v>
      </c>
      <c r="B36">
        <f>B6+B7*A36+A36*B8</f>
        <v>0.16054614600000006</v>
      </c>
    </row>
    <row r="37" spans="1:3" x14ac:dyDescent="0.2">
      <c r="A37">
        <v>0</v>
      </c>
      <c r="B37">
        <f>B6+B7*A37+A37*B8</f>
        <v>0.68400000000000005</v>
      </c>
    </row>
    <row r="38" spans="1:3" x14ac:dyDescent="0.2">
      <c r="A38">
        <f>L8-M8</f>
        <v>2.1058599999999998</v>
      </c>
      <c r="C38">
        <f>B7*(A38)</f>
        <v>-5.4752359999999993E-2</v>
      </c>
    </row>
    <row r="39" spans="1:3" x14ac:dyDescent="0.2">
      <c r="A39">
        <f>L8+M8</f>
        <v>4.780926</v>
      </c>
      <c r="C39">
        <f>B7*A39</f>
        <v>-0.124304076</v>
      </c>
    </row>
    <row r="40" spans="1:3" x14ac:dyDescent="0.2">
      <c r="A40">
        <v>0</v>
      </c>
      <c r="C40">
        <f>B7*A40</f>
        <v>0</v>
      </c>
    </row>
    <row r="41" spans="1:3" x14ac:dyDescent="0.2">
      <c r="B41" t="s">
        <v>127</v>
      </c>
    </row>
    <row r="42" spans="1:3" x14ac:dyDescent="0.2">
      <c r="A42" t="s">
        <v>229</v>
      </c>
      <c r="B42" t="s">
        <v>317</v>
      </c>
      <c r="C42" t="s">
        <v>318</v>
      </c>
    </row>
    <row r="43" spans="1:3" x14ac:dyDescent="0.2">
      <c r="A43">
        <f>L9-M9</f>
        <v>0.40333040000000009</v>
      </c>
      <c r="B43">
        <f>D9*A43+D10*A43</f>
        <v>0.15528220400000003</v>
      </c>
    </row>
    <row r="44" spans="1:3" x14ac:dyDescent="0.2">
      <c r="A44">
        <f>L9+M9</f>
        <v>0.70744960000000001</v>
      </c>
      <c r="B44">
        <f>D9*A44+D10*A44</f>
        <v>0.272368096</v>
      </c>
    </row>
    <row r="45" spans="1:3" x14ac:dyDescent="0.2">
      <c r="A45">
        <f>L10-M10</f>
        <v>0.25836000000000003</v>
      </c>
      <c r="C45">
        <f>D9*A45</f>
        <v>0.12762984000000002</v>
      </c>
    </row>
    <row r="46" spans="1:3" x14ac:dyDescent="0.2">
      <c r="A46">
        <f>L10+M10</f>
        <v>0.63216220000000001</v>
      </c>
      <c r="C46">
        <f>D9*A46</f>
        <v>0.31228812680000001</v>
      </c>
    </row>
    <row r="47" spans="1:3" x14ac:dyDescent="0.2">
      <c r="A47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mechanism updated</vt:lpstr>
      <vt:lpstr>mechanism</vt:lpstr>
      <vt:lpstr>mechanism test table</vt:lpstr>
      <vt:lpstr>Results (with table)</vt:lpstr>
      <vt:lpstr>Theory</vt:lpstr>
      <vt:lpstr>Literature Review</vt:lpstr>
      <vt:lpstr>robustness check</vt:lpstr>
      <vt:lpstr>Result</vt:lpstr>
      <vt:lpstr>interaction plot (20260608)</vt:lpstr>
      <vt:lpstr>table in paper</vt:lpstr>
      <vt:lpstr>Sheet1</vt:lpstr>
      <vt:lpstr>Sheet3</vt:lpstr>
      <vt:lpstr>temp text</vt:lpstr>
      <vt:lpstr>interaction plot</vt:lpstr>
      <vt:lpstr>'Literature Review'!_Hlk194498603</vt:lpstr>
      <vt:lpstr>'Results (with table)'!_Ref194135344</vt:lpstr>
      <vt:lpstr>'Results (with table)'!_Ref210225085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Dylan CHEN</dc:creator>
  <cp:lastModifiedBy>Dylan CHEN</cp:lastModifiedBy>
  <dcterms:created xsi:type="dcterms:W3CDTF">2026-05-21T07:24:36Z</dcterms:created>
  <dcterms:modified xsi:type="dcterms:W3CDTF">2026-07-18T14:00:16Z</dcterms:modified>
</cp:coreProperties>
</file>